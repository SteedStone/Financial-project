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olatileDependencies.xml" ContentType="application/vnd.openxmlformats-officedocument.spreadsheetml.volatileDependenc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172E4E1F-E5EF-0DF4-AAB5-FFAA808CBF94}"/>
  <workbookPr codeName="ThisWorkbook" defaultThemeVersion="124226"/>
  <mc:AlternateContent xmlns:mc="http://schemas.openxmlformats.org/markup-compatibility/2006">
    <mc:Choice Requires="x15">
      <x15ac:absPath xmlns:x15ac="http://schemas.microsoft.com/office/spreadsheetml/2010/11/ac" url="\\crelan.be\hq\Public\AXA_InvDivDept\676_ETAI\ALM\Projecten\Woonkredieten AXA Bank\Optiepremies\2024\JUNE\"/>
    </mc:Choice>
  </mc:AlternateContent>
  <xr:revisionPtr revIDLastSave="0" documentId="13_ncr:1_{5E14181E-ACAA-4BEC-9EAC-ECD332ABB554}" xr6:coauthVersionLast="47" xr6:coauthVersionMax="47" xr10:uidLastSave="{00000000-0000-0000-0000-000000000000}"/>
  <bookViews>
    <workbookView xWindow="-108" yWindow="-108" windowWidth="23256" windowHeight="12576" tabRatio="861" activeTab="5" xr2:uid="{00000000-000D-0000-FFFF-FFFF00000000}"/>
  </bookViews>
  <sheets>
    <sheet name="User Guide" sheetId="42" r:id="rId1"/>
    <sheet name="settings" sheetId="37" state="hidden" r:id="rId2"/>
    <sheet name="Log" sheetId="35" state="hidden" r:id="rId3"/>
    <sheet name="listings" sheetId="23" state="hidden" r:id="rId4"/>
    <sheet name="Rates" sheetId="40" r:id="rId5"/>
    <sheet name="Option Premium" sheetId="41" r:id="rId6"/>
    <sheet name="Option Premium values" sheetId="44" r:id="rId7"/>
    <sheet name="STKAidSheet" sheetId="43" r:id="rId8"/>
  </sheets>
  <functionGroups builtInGroupCount="19"/>
  <externalReferences>
    <externalReference r:id="rId9"/>
    <externalReference r:id="rId10"/>
  </externalReferences>
  <definedNames>
    <definedName name="_8">#REF!</definedName>
    <definedName name="cdsIndex">#REF!</definedName>
    <definedName name="cdsIndexOption">#REF!</definedName>
    <definedName name="cdsSingleName">#REF!</definedName>
    <definedName name="cdsSingleNameOption">#REF!</definedName>
    <definedName name="echeances">OFFSET(#REF!,0,0,#REF!+1)</definedName>
    <definedName name="firmNum">settings!$B$2</definedName>
    <definedName name="index_head">#REF!</definedName>
    <definedName name="indexoption_head">#REF!</definedName>
    <definedName name="Outstanding">OFFSET(#REF!,0,0,#REF!+1)</definedName>
    <definedName name="Outstanding2">OFFSET(#REF!,0,0,#REF!+1)</definedName>
    <definedName name="outstandingNoPrepay">OFFSET(#REF!,0,0,#REF!+1)</definedName>
    <definedName name="pricingNum">settings!$B$3</definedName>
    <definedName name="rng_UUID">#REF!</definedName>
    <definedName name="singlenameoption_head">#REF!</definedName>
    <definedName name="user" localSheetId="1">settings!$B$1</definedName>
    <definedName name="version">#REF!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6" i="41" l="1"/>
  <c r="H5" i="41"/>
  <c r="H81" i="41"/>
  <c r="H80" i="41"/>
  <c r="S79" i="41"/>
  <c r="Q79" i="41"/>
  <c r="R79" i="41"/>
  <c r="T79" i="41" l="1"/>
  <c r="U79" i="41" s="1"/>
  <c r="O79" i="41"/>
  <c r="S78" i="41"/>
  <c r="Q78" i="41"/>
  <c r="R78" i="41"/>
  <c r="T78" i="41" l="1"/>
  <c r="U78" i="41" s="1"/>
  <c r="O78" i="41"/>
  <c r="S77" i="41"/>
  <c r="R77" i="41"/>
  <c r="Q77" i="41"/>
  <c r="T77" i="41" l="1"/>
  <c r="U77" i="41" s="1"/>
  <c r="O77" i="41"/>
  <c r="S76" i="41"/>
  <c r="Q76" i="41"/>
  <c r="R76" i="41"/>
  <c r="T76" i="41" l="1"/>
  <c r="O76" i="41"/>
  <c r="U76" i="41" l="1"/>
  <c r="R75" i="41"/>
  <c r="S75" i="41"/>
  <c r="Q75" i="41"/>
  <c r="T75" i="41" l="1"/>
  <c r="O75" i="41"/>
  <c r="E75" i="41"/>
  <c r="L74" i="41"/>
  <c r="J74" i="41"/>
  <c r="E70" i="41"/>
  <c r="E64" i="41"/>
  <c r="F46" i="41"/>
  <c r="C75" i="41" s="1"/>
  <c r="U75" i="41" l="1"/>
  <c r="D75" i="41"/>
  <c r="F45" i="41"/>
  <c r="E45" i="41"/>
  <c r="D45" i="41"/>
  <c r="C45" i="41"/>
  <c r="F44" i="41"/>
  <c r="E44" i="41"/>
  <c r="D44" i="41"/>
  <c r="C44" i="41"/>
  <c r="F43" i="41"/>
  <c r="E43" i="41"/>
  <c r="D43" i="41"/>
  <c r="C43" i="41"/>
  <c r="F42" i="41"/>
  <c r="E42" i="41"/>
  <c r="D42" i="41"/>
  <c r="C42" i="41"/>
  <c r="F41" i="41"/>
  <c r="E41" i="41"/>
  <c r="D41" i="41"/>
  <c r="C41" i="41"/>
  <c r="F40" i="41"/>
  <c r="E40" i="41"/>
  <c r="D40" i="41"/>
  <c r="C40" i="41"/>
  <c r="F39" i="41"/>
  <c r="E39" i="41"/>
  <c r="D39" i="41"/>
  <c r="C39" i="41"/>
  <c r="F38" i="41"/>
  <c r="E38" i="41"/>
  <c r="D38" i="41"/>
  <c r="C38" i="41"/>
  <c r="F37" i="41"/>
  <c r="C70" i="41" s="1"/>
  <c r="E37" i="41"/>
  <c r="D37" i="41"/>
  <c r="C37" i="41"/>
  <c r="D70" i="41" l="1"/>
  <c r="W70" i="41" s="1"/>
  <c r="F36" i="41"/>
  <c r="E36" i="41"/>
  <c r="D36" i="41"/>
  <c r="C36" i="41"/>
  <c r="F35" i="41"/>
  <c r="C64" i="41" s="1"/>
  <c r="E35" i="41"/>
  <c r="D35" i="41"/>
  <c r="C35" i="41"/>
  <c r="D64" i="41" l="1"/>
  <c r="W66" i="41" l="1"/>
  <c r="W65" i="41"/>
  <c r="W64" i="41"/>
  <c r="F34" i="41"/>
  <c r="E34" i="41"/>
  <c r="D34" i="41"/>
  <c r="C34" i="41"/>
  <c r="F33" i="41"/>
  <c r="E33" i="41"/>
  <c r="D33" i="41"/>
  <c r="C33" i="41"/>
  <c r="F32" i="41"/>
  <c r="E32" i="41"/>
  <c r="D32" i="41"/>
  <c r="C32" i="41"/>
  <c r="F31" i="41"/>
  <c r="E31" i="41"/>
  <c r="D31" i="41"/>
  <c r="C31" i="41"/>
  <c r="F30" i="41"/>
  <c r="E30" i="41"/>
  <c r="D30" i="41"/>
  <c r="C30" i="41"/>
  <c r="F29" i="41"/>
  <c r="C20" i="41" s="1"/>
  <c r="E29" i="41"/>
  <c r="D29" i="41"/>
  <c r="C29" i="41"/>
  <c r="H20" i="41"/>
  <c r="E20" i="41"/>
  <c r="F20" i="41" l="1"/>
  <c r="N36" i="41" s="1"/>
  <c r="D20" i="41"/>
  <c r="W19" i="41" s="1"/>
  <c r="N26" i="41" l="1"/>
  <c r="D47" i="41"/>
  <c r="N27" i="41"/>
  <c r="N28" i="41"/>
  <c r="N29" i="41"/>
  <c r="N25" i="41"/>
  <c r="N30" i="41"/>
  <c r="N31" i="41"/>
  <c r="N20" i="41"/>
  <c r="N32" i="41"/>
  <c r="N21" i="41"/>
  <c r="N33" i="41"/>
  <c r="N22" i="41"/>
  <c r="N34" i="41"/>
  <c r="N23" i="41"/>
  <c r="N35" i="41"/>
  <c r="N24" i="41"/>
  <c r="W36" i="41"/>
  <c r="O36" i="41"/>
  <c r="W35" i="41"/>
  <c r="O35" i="41"/>
  <c r="W34" i="41"/>
  <c r="O34" i="41"/>
  <c r="W33" i="41"/>
  <c r="O33" i="41"/>
  <c r="W32" i="41"/>
  <c r="O32" i="41"/>
  <c r="W31" i="41"/>
  <c r="O31" i="41"/>
  <c r="W30" i="41"/>
  <c r="O30" i="41"/>
  <c r="W29" i="41"/>
  <c r="O29" i="41"/>
  <c r="W28" i="41"/>
  <c r="O28" i="41"/>
  <c r="W27" i="41"/>
  <c r="O27" i="41"/>
  <c r="W26" i="41"/>
  <c r="O26" i="41"/>
  <c r="W25" i="41"/>
  <c r="O25" i="41"/>
  <c r="W24" i="41"/>
  <c r="O24" i="41"/>
  <c r="W23" i="41"/>
  <c r="O23" i="41"/>
  <c r="W22" i="41"/>
  <c r="O22" i="41"/>
  <c r="W21" i="41"/>
  <c r="O21" i="41"/>
  <c r="W20" i="41"/>
  <c r="O20" i="41"/>
  <c r="O19" i="41"/>
  <c r="N19" i="41"/>
  <c r="E19" i="41"/>
  <c r="D19" i="41"/>
  <c r="W51" i="41" l="1"/>
  <c r="O51" i="41"/>
  <c r="W50" i="41"/>
  <c r="O50" i="41"/>
  <c r="W49" i="41"/>
  <c r="O49" i="41"/>
  <c r="W48" i="41"/>
  <c r="O48" i="41"/>
  <c r="W47" i="41"/>
  <c r="O47" i="41"/>
  <c r="W46" i="41"/>
  <c r="O46" i="41"/>
  <c r="W45" i="41"/>
  <c r="O45" i="41"/>
  <c r="W44" i="41"/>
  <c r="O44" i="41"/>
  <c r="W43" i="41"/>
  <c r="O43" i="41"/>
  <c r="W42" i="41"/>
  <c r="O42" i="41"/>
  <c r="W41" i="41"/>
  <c r="O41" i="41"/>
  <c r="W40" i="41"/>
  <c r="O40" i="41"/>
  <c r="W39" i="41"/>
  <c r="O39" i="41"/>
  <c r="W38" i="41"/>
  <c r="O38" i="41"/>
  <c r="W18" i="41"/>
  <c r="O18" i="41"/>
  <c r="N18" i="41"/>
  <c r="E18" i="41"/>
  <c r="D18" i="41"/>
  <c r="W61" i="41" l="1"/>
  <c r="O61" i="41"/>
  <c r="W60" i="41"/>
  <c r="O60" i="41"/>
  <c r="W59" i="41"/>
  <c r="O59" i="41"/>
  <c r="W58" i="41"/>
  <c r="O58" i="41"/>
  <c r="W57" i="41"/>
  <c r="O57" i="41"/>
  <c r="W56" i="41"/>
  <c r="O56" i="41"/>
  <c r="W55" i="41"/>
  <c r="O55" i="41"/>
  <c r="W54" i="41"/>
  <c r="O54" i="41"/>
  <c r="W53" i="41"/>
  <c r="O53" i="41"/>
  <c r="E8" i="41"/>
  <c r="C8" i="41"/>
  <c r="D8" i="41" l="1"/>
  <c r="W8" i="41" s="1"/>
  <c r="E7" i="41"/>
  <c r="C7" i="41"/>
  <c r="W7" i="41" l="1"/>
  <c r="D7" i="41"/>
  <c r="W6" i="41"/>
  <c r="W11" i="41" l="1"/>
  <c r="W10" i="41"/>
  <c r="W9" i="41"/>
  <c r="E6" i="41"/>
  <c r="C6" i="41"/>
  <c r="D6" i="41" s="1"/>
  <c r="W13" i="41" l="1"/>
  <c r="W12" i="41"/>
  <c r="W5" i="41"/>
  <c r="E5" i="41"/>
  <c r="C5" i="41"/>
  <c r="F5" i="41" s="1"/>
  <c r="K1" i="41"/>
  <c r="K70" i="41"/>
  <c r="K7" i="41"/>
  <c r="K28" i="41"/>
  <c r="K41" i="41"/>
  <c r="K47" i="41"/>
  <c r="K60" i="41"/>
  <c r="K75" i="41"/>
  <c r="K6" i="41"/>
  <c r="K27" i="41"/>
  <c r="L6" i="41"/>
  <c r="K22" i="41"/>
  <c r="K34" i="41"/>
  <c r="K54" i="41"/>
  <c r="L7" i="41"/>
  <c r="L75" i="41"/>
  <c r="K53" i="41"/>
  <c r="K23" i="41"/>
  <c r="K29" i="41"/>
  <c r="K35" i="41"/>
  <c r="K42" i="41"/>
  <c r="K48" i="41"/>
  <c r="K55" i="41"/>
  <c r="K61" i="41"/>
  <c r="K76" i="41"/>
  <c r="K33" i="41"/>
  <c r="L70" i="41"/>
  <c r="L76" i="41"/>
  <c r="K21" i="41"/>
  <c r="K46" i="41"/>
  <c r="L8" i="41"/>
  <c r="K24" i="41"/>
  <c r="K36" i="41"/>
  <c r="K43" i="41"/>
  <c r="K49" i="41"/>
  <c r="K56" i="41"/>
  <c r="K64" i="41"/>
  <c r="K77" i="41"/>
  <c r="K59" i="41"/>
  <c r="K8" i="41"/>
  <c r="K18" i="41"/>
  <c r="K30" i="41"/>
  <c r="L64" i="41"/>
  <c r="L77" i="41"/>
  <c r="K40" i="41"/>
  <c r="K19" i="41"/>
  <c r="K25" i="41"/>
  <c r="K31" i="41"/>
  <c r="K38" i="41"/>
  <c r="K44" i="41"/>
  <c r="K50" i="41"/>
  <c r="K57" i="41"/>
  <c r="K65" i="41"/>
  <c r="K78" i="41"/>
  <c r="L78" i="41"/>
  <c r="K5" i="41"/>
  <c r="K26" i="41"/>
  <c r="K39" i="41"/>
  <c r="K45" i="41"/>
  <c r="K51" i="41"/>
  <c r="K58" i="41"/>
  <c r="K66" i="41"/>
  <c r="K79" i="41"/>
  <c r="L65" i="41"/>
  <c r="K20" i="41"/>
  <c r="K32" i="41"/>
  <c r="L5" i="41"/>
  <c r="L66" i="41"/>
  <c r="L79" i="41"/>
  <c r="AA4" i="40"/>
  <c r="I4" i="40"/>
  <c r="AC4" i="40"/>
  <c r="Z4" i="40"/>
  <c r="P4" i="40"/>
  <c r="F4" i="40"/>
  <c r="E4" i="40"/>
  <c r="AB4" i="40"/>
  <c r="T4" i="40"/>
  <c r="J4" i="40"/>
  <c r="U4" i="40"/>
  <c r="L4" i="40"/>
  <c r="Q4" i="40"/>
  <c r="AD4" i="40"/>
  <c r="C4" i="40"/>
  <c r="S4" i="40"/>
  <c r="H4" i="40"/>
  <c r="A4" i="40"/>
  <c r="R4" i="40"/>
  <c r="M4" i="40"/>
  <c r="W4" i="40"/>
  <c r="N4" i="40"/>
  <c r="Y4" i="40"/>
  <c r="K4" i="40"/>
  <c r="O4" i="40"/>
  <c r="B4" i="40"/>
  <c r="V4" i="40"/>
  <c r="X4" i="40"/>
  <c r="D4" i="40"/>
  <c r="G4" i="40"/>
  <c r="L28" i="41"/>
  <c r="L29" i="41"/>
  <c r="L60" i="41"/>
  <c r="L27" i="41"/>
  <c r="L22" i="41"/>
  <c r="L34" i="41"/>
  <c r="L54" i="41"/>
  <c r="L53" i="41"/>
  <c r="L23" i="41"/>
  <c r="L35" i="41"/>
  <c r="L55" i="41"/>
  <c r="L61" i="41"/>
  <c r="L33" i="41"/>
  <c r="L21" i="41"/>
  <c r="L24" i="41"/>
  <c r="L36" i="41"/>
  <c r="L56" i="41"/>
  <c r="L18" i="41"/>
  <c r="L30" i="41"/>
  <c r="L19" i="41"/>
  <c r="L25" i="41"/>
  <c r="L31" i="41"/>
  <c r="L57" i="41"/>
  <c r="L26" i="41"/>
  <c r="L58" i="41"/>
  <c r="L20" i="41"/>
  <c r="L32" i="41"/>
  <c r="L41" i="41"/>
  <c r="L47" i="41"/>
  <c r="L42" i="41"/>
  <c r="L48" i="41"/>
  <c r="L46" i="41"/>
  <c r="L43" i="41"/>
  <c r="L49" i="41"/>
  <c r="L59" i="41"/>
  <c r="L40" i="41"/>
  <c r="L38" i="41"/>
  <c r="L44" i="41"/>
  <c r="L50" i="41"/>
  <c r="L39" i="41"/>
  <c r="L45" i="41"/>
  <c r="L51" i="41"/>
  <c r="A20" i="41" l="1"/>
  <c r="A19" i="41"/>
  <c r="A18" i="41"/>
  <c r="A8" i="41"/>
  <c r="A7" i="41"/>
  <c r="A6" i="41"/>
  <c r="A5" i="41"/>
  <c r="M79" i="41"/>
  <c r="M78" i="41"/>
  <c r="M77" i="41"/>
  <c r="M76" i="41"/>
  <c r="M75" i="41"/>
  <c r="M70" i="41"/>
  <c r="M66" i="41"/>
  <c r="M65" i="41"/>
  <c r="M64" i="41"/>
  <c r="M61" i="41"/>
  <c r="M60" i="41"/>
  <c r="M59" i="41"/>
  <c r="M58" i="41"/>
  <c r="M57" i="41"/>
  <c r="M56" i="41"/>
  <c r="M55" i="41"/>
  <c r="M54" i="41"/>
  <c r="M53" i="41"/>
  <c r="M51" i="41"/>
  <c r="M50" i="41"/>
  <c r="M49" i="41"/>
  <c r="M48" i="41"/>
  <c r="M47" i="41"/>
  <c r="M46" i="41"/>
  <c r="M45" i="41"/>
  <c r="M44" i="41"/>
  <c r="M43" i="41"/>
  <c r="M42" i="41"/>
  <c r="M41" i="41"/>
  <c r="M40" i="41"/>
  <c r="M39" i="41"/>
  <c r="M38" i="41"/>
  <c r="M36" i="41"/>
  <c r="M35" i="41"/>
  <c r="M34" i="41"/>
  <c r="M33" i="41"/>
  <c r="M32" i="41"/>
  <c r="M31" i="41"/>
  <c r="M30" i="41"/>
  <c r="M29" i="41"/>
  <c r="M28" i="41"/>
  <c r="M27" i="41"/>
  <c r="M26" i="41"/>
  <c r="M25" i="41"/>
  <c r="M24" i="41"/>
  <c r="M23" i="41"/>
  <c r="M22" i="41"/>
  <c r="M21" i="41"/>
  <c r="M20" i="41"/>
  <c r="M19" i="41"/>
  <c r="M18" i="41"/>
  <c r="M8" i="41"/>
  <c r="L11" i="41"/>
  <c r="M11" i="41" s="1"/>
  <c r="M7" i="41"/>
  <c r="K11" i="41"/>
  <c r="L13" i="41"/>
  <c r="M13" i="41" s="1"/>
  <c r="L10" i="41"/>
  <c r="M10" i="41" s="1"/>
  <c r="M6" i="41"/>
  <c r="K13" i="41"/>
  <c r="K10" i="41"/>
  <c r="L14" i="41"/>
  <c r="M14" i="41" s="1"/>
  <c r="L12" i="41"/>
  <c r="M12" i="41" s="1"/>
  <c r="L9" i="41"/>
  <c r="M9" i="41" s="1"/>
  <c r="M5" i="41"/>
  <c r="K14" i="41"/>
  <c r="K12" i="41"/>
  <c r="K9" i="41"/>
  <c r="D5" i="41"/>
  <c r="W14" i="41" s="1"/>
  <c r="R1" i="41"/>
  <c r="R2" i="41" s="1"/>
  <c r="B1" i="43"/>
  <c r="A75" i="41"/>
  <c r="P70" i="41" a="1"/>
  <c r="P53" i="41" a="1"/>
  <c r="P40" i="41" a="1"/>
  <c r="P27" i="41" a="1"/>
  <c r="P7" i="41" a="1"/>
  <c r="P12" i="41" a="1"/>
  <c r="P51" i="41" a="1"/>
  <c r="P39" i="41" a="1"/>
  <c r="P26" i="41" a="1"/>
  <c r="P11" i="41" a="1"/>
  <c r="P9" i="41" a="1"/>
  <c r="P36" i="41" a="1"/>
  <c r="P23" i="41" a="1"/>
  <c r="P6" i="41" a="1"/>
  <c r="P34" i="41" a="1"/>
  <c r="P13" i="41" a="1"/>
  <c r="P21" i="41" a="1"/>
  <c r="P45" i="41" a="1"/>
  <c r="P57" i="41" a="1"/>
  <c r="P43" i="41" a="1"/>
  <c r="P42" i="41" a="1"/>
  <c r="P5" i="41" a="1"/>
  <c r="P14" i="41" a="1"/>
  <c r="P66" i="41" a="1"/>
  <c r="P46" i="41" a="1"/>
  <c r="P56" i="41" a="1"/>
  <c r="P8" i="41" a="1"/>
  <c r="P41" i="41" a="1"/>
  <c r="P65" i="41" a="1"/>
  <c r="P50" i="41" a="1"/>
  <c r="P38" i="41" a="1"/>
  <c r="P25" i="41" a="1"/>
  <c r="P48" i="41" a="1"/>
  <c r="P22" i="41" a="1"/>
  <c r="P64" i="41" a="1"/>
  <c r="P49" i="41" a="1"/>
  <c r="P24" i="41" a="1"/>
  <c r="P47" i="41" a="1"/>
  <c r="P10" i="41" a="1"/>
  <c r="P58" i="41" a="1"/>
  <c r="P44" i="41" a="1"/>
  <c r="P55" i="41" a="1"/>
  <c r="P28" i="41" a="1"/>
  <c r="P61" i="41" a="1"/>
  <c r="P35" i="41" a="1"/>
  <c r="P33" i="41" a="1"/>
  <c r="P32" i="41" a="1"/>
  <c r="P31" i="41" a="1"/>
  <c r="P30" i="41" a="1"/>
  <c r="P76" i="41" a="1"/>
  <c r="P60" i="41" a="1"/>
  <c r="P20" i="41" a="1"/>
  <c r="P19" i="41" a="1"/>
  <c r="P75" i="41" a="1"/>
  <c r="P59" i="41" a="1"/>
  <c r="P79" i="41" a="1"/>
  <c r="P18" i="41" a="1"/>
  <c r="P29" i="41" a="1"/>
  <c r="P54" i="41" a="1"/>
  <c r="P78" i="41" a="1"/>
  <c r="P77" i="41" a="1"/>
  <c r="P77" i="41" l="1"/>
  <c r="P78" i="41"/>
  <c r="P54" i="41"/>
  <c r="P29" i="41"/>
  <c r="P18" i="41"/>
  <c r="P79" i="41"/>
  <c r="P59" i="41"/>
  <c r="P75" i="41"/>
  <c r="P19" i="41"/>
  <c r="P20" i="41"/>
  <c r="P60" i="41"/>
  <c r="P76" i="41"/>
  <c r="P30" i="41"/>
  <c r="P31" i="41"/>
  <c r="P32" i="41"/>
  <c r="P33" i="41"/>
  <c r="P35" i="41"/>
  <c r="P61" i="41"/>
  <c r="P28" i="41"/>
  <c r="P55" i="41"/>
  <c r="P44" i="41"/>
  <c r="P58" i="41"/>
  <c r="P10" i="41"/>
  <c r="P47" i="41"/>
  <c r="P24" i="41"/>
  <c r="P49" i="41"/>
  <c r="P64" i="41"/>
  <c r="P22" i="41"/>
  <c r="P48" i="41"/>
  <c r="P25" i="41"/>
  <c r="P38" i="41"/>
  <c r="P50" i="41"/>
  <c r="P65" i="41"/>
  <c r="P41" i="41"/>
  <c r="P8" i="41"/>
  <c r="P56" i="41"/>
  <c r="P46" i="41"/>
  <c r="P66" i="41"/>
  <c r="P14" i="41"/>
  <c r="P5" i="41"/>
  <c r="P42" i="41"/>
  <c r="P43" i="41"/>
  <c r="P57" i="41"/>
  <c r="P45" i="41"/>
  <c r="P21" i="41"/>
  <c r="P13" i="41"/>
  <c r="P34" i="41"/>
  <c r="P6" i="41"/>
  <c r="P23" i="41"/>
  <c r="P36" i="41"/>
  <c r="P9" i="41"/>
  <c r="P11" i="41"/>
  <c r="P26" i="41"/>
  <c r="P39" i="41"/>
  <c r="P51" i="41"/>
  <c r="P12" i="41"/>
  <c r="P7" i="41"/>
  <c r="P27" i="41"/>
  <c r="P40" i="41"/>
  <c r="P53" i="41"/>
  <c r="P70" i="41"/>
  <c r="B5" i="40"/>
  <c r="AB5" i="41" a="1"/>
  <c r="AB11" i="41" a="1"/>
  <c r="AB48" i="41" a="1"/>
  <c r="AB42" i="41" a="1"/>
  <c r="AB51" i="41" a="1"/>
  <c r="AB12" i="41" a="1"/>
  <c r="AB65" i="41" a="1"/>
  <c r="AB13" i="41" a="1"/>
  <c r="AB10" i="41" a="1"/>
  <c r="AB40" i="41" a="1"/>
  <c r="AB9" i="41" a="1"/>
  <c r="AB39" i="41" a="1"/>
  <c r="AB38" i="41" a="1"/>
  <c r="AB45" i="41" a="1"/>
  <c r="AB7" i="41" a="1"/>
  <c r="AB41" i="41" a="1"/>
  <c r="AB6" i="41" a="1"/>
  <c r="AB70" i="41" a="1"/>
  <c r="AB8" i="41" a="1"/>
  <c r="AB46" i="41" a="1"/>
  <c r="AB66" i="41" a="1"/>
  <c r="AB14" i="41" a="1"/>
  <c r="AB64" i="41" a="1"/>
  <c r="AB30" i="41" a="1"/>
  <c r="AB23" i="41" a="1"/>
  <c r="AB36" i="41" a="1"/>
  <c r="AB54" i="41" a="1"/>
  <c r="AB32" i="41" a="1"/>
  <c r="AB22" i="41" a="1"/>
  <c r="AB18" i="41" a="1"/>
  <c r="AB25" i="41" a="1"/>
  <c r="AB55" i="41" a="1"/>
  <c r="AB19" i="41" a="1"/>
  <c r="AB44" i="41" a="1"/>
  <c r="AB60" i="41" a="1"/>
  <c r="AB47" i="41" a="1"/>
  <c r="AB49" i="41" a="1"/>
  <c r="AB29" i="41" a="1"/>
  <c r="AB26" i="41" a="1"/>
  <c r="AB61" i="41" a="1"/>
  <c r="AB43" i="41" a="1"/>
  <c r="AB28" i="41" a="1"/>
  <c r="AB57" i="41" a="1"/>
  <c r="AB50" i="41" a="1"/>
  <c r="AB27" i="41" a="1"/>
  <c r="AB56" i="41" a="1"/>
  <c r="AB53" i="41" a="1"/>
  <c r="AB58" i="41" a="1"/>
  <c r="AB21" i="41" a="1"/>
  <c r="AB20" i="41" a="1"/>
  <c r="AB34" i="41" a="1"/>
  <c r="AB24" i="41" a="1"/>
  <c r="AB31" i="41" a="1"/>
  <c r="AB33" i="41" a="1"/>
  <c r="AB35" i="41" a="1"/>
  <c r="AB59" i="41" a="1"/>
  <c r="AB64" i="41" l="1"/>
  <c r="AB14" i="41"/>
  <c r="AB66" i="41"/>
  <c r="AB46" i="41"/>
  <c r="AB8" i="41"/>
  <c r="AB70" i="41"/>
  <c r="AB6" i="41"/>
  <c r="AB41" i="41"/>
  <c r="AB7" i="41"/>
  <c r="AB45" i="41"/>
  <c r="AB38" i="41"/>
  <c r="AB39" i="41"/>
  <c r="AB9" i="41"/>
  <c r="AB40" i="41"/>
  <c r="AB10" i="41"/>
  <c r="AB13" i="41"/>
  <c r="AB65" i="41"/>
  <c r="AB12" i="41"/>
  <c r="AB51" i="41"/>
  <c r="AB42" i="41"/>
  <c r="AB48" i="41"/>
  <c r="AB11" i="41"/>
  <c r="AB5" i="41"/>
  <c r="AB58" i="41"/>
  <c r="AB53" i="41"/>
  <c r="AB56" i="41"/>
  <c r="AB27" i="41"/>
  <c r="AB50" i="41"/>
  <c r="AB57" i="41"/>
  <c r="AB28" i="41"/>
  <c r="AB43" i="41"/>
  <c r="AB61" i="41"/>
  <c r="AB26" i="41"/>
  <c r="AB29" i="41"/>
  <c r="AB49" i="41"/>
  <c r="AB47" i="41"/>
  <c r="AB60" i="41"/>
  <c r="AB44" i="41"/>
  <c r="AB19" i="41"/>
  <c r="AB55" i="41"/>
  <c r="AB25" i="41"/>
  <c r="AB18" i="41"/>
  <c r="AB22" i="41"/>
  <c r="AB32" i="41"/>
  <c r="AB54" i="41"/>
  <c r="AB36" i="41"/>
  <c r="AB23" i="41"/>
  <c r="AB30" i="41"/>
  <c r="AB59" i="41"/>
  <c r="AB35" i="41"/>
  <c r="AB33" i="41"/>
  <c r="AB31" i="41"/>
  <c r="AB24" i="41"/>
  <c r="AB34" i="41"/>
  <c r="AB20" i="41"/>
  <c r="AB21" i="41"/>
  <c r="C5" i="40"/>
  <c r="R46" i="41"/>
  <c r="Q46" i="41"/>
  <c r="S46" i="41"/>
  <c r="R13" i="41"/>
  <c r="Q13" i="41"/>
  <c r="S13" i="41"/>
  <c r="R42" i="41"/>
  <c r="Q42" i="41"/>
  <c r="S42" i="41"/>
  <c r="R45" i="41"/>
  <c r="S45" i="41"/>
  <c r="Q45" i="41"/>
  <c r="S5" i="41"/>
  <c r="Q5" i="41"/>
  <c r="R5" i="41"/>
  <c r="Q39" i="41"/>
  <c r="S39" i="41"/>
  <c r="R39" i="41"/>
  <c r="R40" i="41"/>
  <c r="S40" i="41"/>
  <c r="Q40" i="41"/>
  <c r="R8" i="41"/>
  <c r="S8" i="41"/>
  <c r="Q8" i="41"/>
  <c r="S65" i="41"/>
  <c r="R65" i="41"/>
  <c r="Q65" i="41"/>
  <c r="R11" i="41"/>
  <c r="S11" i="41"/>
  <c r="Q11" i="41"/>
  <c r="S9" i="41"/>
  <c r="R9" i="41"/>
  <c r="Q9" i="41"/>
  <c r="R70" i="41"/>
  <c r="S70" i="41"/>
  <c r="Q70" i="41"/>
  <c r="R12" i="41"/>
  <c r="S12" i="41"/>
  <c r="Q12" i="41"/>
  <c r="S48" i="41"/>
  <c r="R48" i="41"/>
  <c r="Q48" i="41"/>
  <c r="S64" i="41"/>
  <c r="R64" i="41"/>
  <c r="Q64" i="41"/>
  <c r="Q6" i="41"/>
  <c r="S6" i="41"/>
  <c r="R6" i="41"/>
  <c r="R51" i="41"/>
  <c r="Q51" i="41"/>
  <c r="S51" i="41"/>
  <c r="S38" i="41"/>
  <c r="R38" i="41"/>
  <c r="Q38" i="41"/>
  <c r="S47" i="41"/>
  <c r="Q47" i="41"/>
  <c r="R47" i="41"/>
  <c r="Q14" i="41"/>
  <c r="S14" i="41"/>
  <c r="R14" i="41"/>
  <c r="S41" i="41"/>
  <c r="R41" i="41"/>
  <c r="Q41" i="41"/>
  <c r="S44" i="41"/>
  <c r="Q44" i="41"/>
  <c r="R44" i="41"/>
  <c r="Q10" i="41"/>
  <c r="S10" i="41"/>
  <c r="R10" i="41"/>
  <c r="S7" i="41"/>
  <c r="Q7" i="41"/>
  <c r="R7" i="41"/>
  <c r="R66" i="41"/>
  <c r="S66" i="41"/>
  <c r="Q66" i="41"/>
  <c r="S58" i="41"/>
  <c r="R58" i="41"/>
  <c r="Q58" i="41"/>
  <c r="R30" i="41"/>
  <c r="Q30" i="41"/>
  <c r="S30" i="41"/>
  <c r="Q60" i="41"/>
  <c r="R60" i="41"/>
  <c r="S60" i="41"/>
  <c r="Q56" i="41"/>
  <c r="R56" i="41"/>
  <c r="S56" i="41"/>
  <c r="S27" i="41"/>
  <c r="Q27" i="41"/>
  <c r="R27" i="41"/>
  <c r="S19" i="41"/>
  <c r="Q19" i="41"/>
  <c r="R19" i="41"/>
  <c r="R33" i="41"/>
  <c r="Q33" i="41"/>
  <c r="S33" i="41"/>
  <c r="S50" i="41"/>
  <c r="R50" i="41"/>
  <c r="Q50" i="41"/>
  <c r="R25" i="41"/>
  <c r="S25" i="41"/>
  <c r="Q25" i="41"/>
  <c r="R18" i="41"/>
  <c r="Q18" i="41"/>
  <c r="S18" i="41"/>
  <c r="Q32" i="41"/>
  <c r="R32" i="41"/>
  <c r="S32" i="41"/>
  <c r="R26" i="41"/>
  <c r="S26" i="41"/>
  <c r="Q26" i="41"/>
  <c r="S36" i="41"/>
  <c r="R36" i="41"/>
  <c r="Q36" i="41"/>
  <c r="S53" i="41"/>
  <c r="Q53" i="41"/>
  <c r="R53" i="41"/>
  <c r="S55" i="41"/>
  <c r="Q55" i="41"/>
  <c r="R55" i="41"/>
  <c r="S28" i="41"/>
  <c r="Q28" i="41"/>
  <c r="R28" i="41"/>
  <c r="Q61" i="41"/>
  <c r="S61" i="41"/>
  <c r="R61" i="41"/>
  <c r="R49" i="41"/>
  <c r="Q49" i="41"/>
  <c r="S49" i="41"/>
  <c r="Q57" i="41"/>
  <c r="S57" i="41"/>
  <c r="R57" i="41"/>
  <c r="S43" i="41"/>
  <c r="Q43" i="41"/>
  <c r="R43" i="41"/>
  <c r="S22" i="41"/>
  <c r="R22" i="41"/>
  <c r="Q22" i="41"/>
  <c r="R54" i="41"/>
  <c r="S54" i="41"/>
  <c r="Q54" i="41"/>
  <c r="S29" i="41"/>
  <c r="Q29" i="41"/>
  <c r="R29" i="41"/>
  <c r="S23" i="41"/>
  <c r="Q23" i="41"/>
  <c r="R23" i="41"/>
  <c r="R59" i="41"/>
  <c r="S59" i="41"/>
  <c r="Q59" i="41"/>
  <c r="R31" i="41"/>
  <c r="Q31" i="41"/>
  <c r="S31" i="41"/>
  <c r="S34" i="41"/>
  <c r="R34" i="41"/>
  <c r="Q34" i="41"/>
  <c r="Q21" i="41"/>
  <c r="R21" i="41"/>
  <c r="S21" i="41"/>
  <c r="S35" i="41"/>
  <c r="R35" i="41"/>
  <c r="Q35" i="41"/>
  <c r="R24" i="41"/>
  <c r="S24" i="41"/>
  <c r="Q24" i="41"/>
  <c r="Q20" i="41"/>
  <c r="R20" i="41"/>
  <c r="S20" i="41"/>
  <c r="T28" i="41" l="1"/>
  <c r="U28" i="41" s="1"/>
  <c r="T26" i="41"/>
  <c r="U26" i="41" s="1"/>
  <c r="T32" i="41"/>
  <c r="U32" i="41" s="1"/>
  <c r="T24" i="41"/>
  <c r="U24" i="41" s="1"/>
  <c r="T20" i="41"/>
  <c r="U20" i="41" s="1"/>
  <c r="T31" i="41"/>
  <c r="U31" i="41" s="1"/>
  <c r="T19" i="41"/>
  <c r="U19" i="41" s="1"/>
  <c r="T34" i="41"/>
  <c r="U34" i="41" s="1"/>
  <c r="T30" i="41"/>
  <c r="U30" i="41" s="1"/>
  <c r="T18" i="41"/>
  <c r="U18" i="41" s="1"/>
  <c r="T33" i="41"/>
  <c r="U33" i="41" s="1"/>
  <c r="T27" i="41"/>
  <c r="U27" i="41" s="1"/>
  <c r="T25" i="41"/>
  <c r="U25" i="41" s="1"/>
  <c r="T36" i="41"/>
  <c r="U36" i="41" s="1"/>
  <c r="T35" i="41"/>
  <c r="U35" i="41" s="1"/>
  <c r="T23" i="41"/>
  <c r="U23" i="41" s="1"/>
  <c r="T22" i="41"/>
  <c r="U22" i="41" s="1"/>
  <c r="T29" i="41"/>
  <c r="U29" i="41" s="1"/>
  <c r="T21" i="41"/>
  <c r="U21" i="41" s="1"/>
  <c r="D5" i="40"/>
  <c r="E5" i="40" l="1"/>
  <c r="F5" i="40" l="1"/>
  <c r="G5" i="40" l="1"/>
  <c r="H5" i="40" l="1"/>
  <c r="I5" i="40" l="1"/>
  <c r="J5" i="40" l="1"/>
  <c r="K5" i="40" l="1"/>
  <c r="L5" i="40" l="1"/>
  <c r="M5" i="40" l="1"/>
  <c r="N5" i="40" l="1"/>
  <c r="O5" i="40" l="1"/>
  <c r="P5" i="40" l="1"/>
  <c r="Q5" i="40" l="1"/>
  <c r="R5" i="40" l="1"/>
  <c r="S5" i="40" l="1"/>
  <c r="T5" i="40" l="1"/>
  <c r="U5" i="40" l="1"/>
  <c r="V5" i="40" l="1"/>
  <c r="W5" i="40" l="1"/>
  <c r="X5" i="40" l="1"/>
  <c r="Y5" i="40" l="1"/>
  <c r="Z5" i="40" l="1"/>
  <c r="AA5" i="40" l="1"/>
  <c r="AB5" i="40" l="1"/>
  <c r="AC5" i="40" l="1"/>
  <c r="AD5" i="40" l="1"/>
  <c r="Y38" i="41" l="1"/>
  <c r="Y53" i="41"/>
  <c r="Y39" i="41" l="1"/>
  <c r="Z38" i="41" l="1"/>
  <c r="Y54" i="41" l="1"/>
  <c r="Z53" i="41" l="1"/>
  <c r="Y55" i="41" l="1"/>
  <c r="Z54" i="41" l="1"/>
  <c r="Y40" i="41" l="1"/>
  <c r="Z39" i="41" l="1"/>
  <c r="Y56" i="41" l="1"/>
  <c r="Z55" i="41" l="1"/>
  <c r="Y41" i="41" l="1"/>
  <c r="Z40" i="41" l="1"/>
  <c r="Y57" i="41" l="1"/>
  <c r="Z56" i="41" l="1"/>
  <c r="Y42" i="41" l="1"/>
  <c r="Z41" i="41" l="1"/>
  <c r="Y58" i="41" l="1"/>
  <c r="Z57" i="41" l="1"/>
  <c r="Y43" i="41" l="1"/>
  <c r="Z42" i="41" l="1"/>
  <c r="Y59" i="41" l="1"/>
  <c r="Z58" i="41" l="1"/>
  <c r="Y60" i="41" l="1"/>
  <c r="Z59" i="41" l="1"/>
  <c r="Y44" i="41" l="1"/>
  <c r="Z43" i="41" l="1"/>
  <c r="Y61" i="41" l="1"/>
  <c r="Z61" i="41" l="1"/>
  <c r="Z60" i="41"/>
  <c r="Y45" i="41" l="1"/>
  <c r="Z44" i="41" l="1"/>
  <c r="H18" i="41" l="1"/>
  <c r="F18" i="41" s="1"/>
  <c r="N61" i="41" l="1"/>
  <c r="N59" i="41"/>
  <c r="N58" i="41"/>
  <c r="N57" i="41"/>
  <c r="N55" i="41"/>
  <c r="N54" i="41"/>
  <c r="N60" i="41"/>
  <c r="N56" i="41"/>
  <c r="N53" i="41"/>
  <c r="Y46" i="41" l="1"/>
  <c r="Z45" i="41" l="1"/>
  <c r="T55" i="41" l="1"/>
  <c r="U55" i="41" s="1"/>
  <c r="T57" i="41"/>
  <c r="U57" i="41" s="1"/>
  <c r="T61" i="41"/>
  <c r="U61" i="41" s="1"/>
  <c r="T59" i="41"/>
  <c r="U59" i="41" s="1"/>
  <c r="T53" i="41"/>
  <c r="U53" i="41" s="1"/>
  <c r="T56" i="41"/>
  <c r="U56" i="41" s="1"/>
  <c r="T60" i="41"/>
  <c r="U60" i="41" s="1"/>
  <c r="T54" i="41"/>
  <c r="U54" i="41" s="1"/>
  <c r="T58" i="41"/>
  <c r="U58" i="41" s="1"/>
  <c r="Y47" i="41"/>
  <c r="Z46" i="41" l="1"/>
  <c r="Y48" i="41" l="1"/>
  <c r="Z47" i="41" l="1"/>
  <c r="Y49" i="41" l="1"/>
  <c r="Z48" i="41" l="1"/>
  <c r="Y50" i="41" l="1"/>
  <c r="Z49" i="41" l="1"/>
  <c r="Y51" i="41" l="1"/>
  <c r="Z51" i="41" l="1"/>
  <c r="Z50" i="41"/>
  <c r="H19" i="41" l="1"/>
  <c r="F19" i="41" s="1"/>
  <c r="N51" i="41" l="1"/>
  <c r="N40" i="41"/>
  <c r="N47" i="41"/>
  <c r="N50" i="41"/>
  <c r="N38" i="41"/>
  <c r="N49" i="41"/>
  <c r="N48" i="41"/>
  <c r="N46" i="41"/>
  <c r="N45" i="41"/>
  <c r="N43" i="41"/>
  <c r="N42" i="41"/>
  <c r="N39" i="41"/>
  <c r="N44" i="41"/>
  <c r="N41" i="41"/>
  <c r="G18" i="41" l="1"/>
  <c r="T51" i="41" l="1"/>
  <c r="U51" i="41" s="1"/>
  <c r="T43" i="41"/>
  <c r="U43" i="41" s="1"/>
  <c r="T42" i="41"/>
  <c r="U42" i="41" s="1"/>
  <c r="T45" i="41"/>
  <c r="U45" i="41" s="1"/>
  <c r="T46" i="41"/>
  <c r="U46" i="41" s="1"/>
  <c r="T48" i="41"/>
  <c r="U48" i="41" s="1"/>
  <c r="T49" i="41"/>
  <c r="U49" i="41" s="1"/>
  <c r="T38" i="41"/>
  <c r="U38" i="41" s="1"/>
  <c r="T50" i="41"/>
  <c r="U50" i="41" s="1"/>
  <c r="T47" i="41"/>
  <c r="U47" i="41" s="1"/>
  <c r="T39" i="41"/>
  <c r="U39" i="41" s="1"/>
  <c r="T41" i="41"/>
  <c r="U41" i="41" s="1"/>
  <c r="T44" i="41"/>
  <c r="U44" i="41" s="1"/>
  <c r="T40" i="41"/>
  <c r="U40" i="41" s="1"/>
  <c r="Y18" i="41"/>
  <c r="G19" i="41" l="1"/>
  <c r="Y19" i="41"/>
  <c r="Z18" i="41" l="1"/>
  <c r="Y20" i="41" l="1"/>
  <c r="Z19" i="41" l="1"/>
  <c r="Y21" i="41" l="1"/>
  <c r="Z20" i="41" l="1"/>
  <c r="Y22" i="41" l="1"/>
  <c r="Z21" i="41" l="1"/>
  <c r="Y5" i="41" l="1"/>
  <c r="Y9" i="41" l="1"/>
  <c r="Y14" i="41" l="1"/>
  <c r="Z14" i="41" s="1"/>
  <c r="O14" i="41" s="1"/>
  <c r="Y12" i="41" l="1"/>
  <c r="Y23" i="41" l="1"/>
  <c r="Z22" i="41" l="1"/>
  <c r="Y24" i="41" l="1"/>
  <c r="Z23" i="41" l="1"/>
  <c r="Y25" i="41" l="1"/>
  <c r="Z24" i="41" l="1"/>
  <c r="Y26" i="41" l="1"/>
  <c r="Z25" i="41" l="1"/>
  <c r="Y27" i="41" l="1"/>
  <c r="Z26" i="41" l="1"/>
  <c r="Y13" i="41" l="1"/>
  <c r="Z13" i="41" l="1"/>
  <c r="O13" i="41" s="1"/>
  <c r="Z12" i="41"/>
  <c r="O12" i="41" s="1"/>
  <c r="Y6" i="41" l="1"/>
  <c r="Z5" i="41" l="1"/>
  <c r="O5" i="41" s="1"/>
  <c r="Y28" i="41" l="1"/>
  <c r="Y10" i="41"/>
  <c r="Z27" i="41" l="1"/>
  <c r="Z9" i="41"/>
  <c r="O9" i="41" s="1"/>
  <c r="Y64" i="41" l="1"/>
  <c r="D48" i="41" l="1"/>
  <c r="N14" i="41"/>
  <c r="Y29" i="41" l="1"/>
  <c r="Z28" i="41" l="1"/>
  <c r="T14" i="41" l="1"/>
  <c r="U14" i="41" s="1"/>
  <c r="G5" i="41" s="1"/>
  <c r="E48" i="41" s="1"/>
  <c r="Y30" i="41"/>
  <c r="Z29" i="41" l="1"/>
  <c r="Y31" i="41" l="1"/>
  <c r="Z30" i="41" l="1"/>
  <c r="Y32" i="41" l="1"/>
  <c r="Z31" i="41" l="1"/>
  <c r="Y7" i="41" l="1"/>
  <c r="Z6" i="41" l="1"/>
  <c r="O6" i="41" s="1"/>
  <c r="F6" i="41" l="1"/>
  <c r="D49" i="41" l="1"/>
  <c r="N12" i="41"/>
  <c r="N13" i="41"/>
  <c r="Y11" i="41" l="1"/>
  <c r="Z11" i="41" l="1"/>
  <c r="O11" i="41" s="1"/>
  <c r="Z10" i="41"/>
  <c r="O10" i="41" s="1"/>
  <c r="Y65" i="41"/>
  <c r="Z64" i="41" s="1"/>
  <c r="O64" i="41" s="1"/>
  <c r="T13" i="41" l="1"/>
  <c r="U13" i="41" s="1"/>
  <c r="T12" i="41"/>
  <c r="U12" i="41" s="1"/>
  <c r="Y33" i="41"/>
  <c r="G6" i="41" l="1"/>
  <c r="E49" i="41" s="1"/>
  <c r="Z32" i="41"/>
  <c r="Y34" i="41" l="1"/>
  <c r="Z33" i="41" l="1"/>
  <c r="Y35" i="41" l="1"/>
  <c r="Z34" i="41" l="1"/>
  <c r="Y36" i="41" l="1"/>
  <c r="Z36" i="41" l="1"/>
  <c r="Z35" i="41"/>
  <c r="G20" i="41" l="1"/>
  <c r="E47" i="41" s="1"/>
  <c r="Y8" i="41" l="1"/>
  <c r="Z8" i="41" l="1"/>
  <c r="O8" i="41" s="1"/>
  <c r="Z7" i="41"/>
  <c r="O7" i="41" s="1"/>
  <c r="Y70" i="41" l="1"/>
  <c r="Y66" i="41"/>
  <c r="Z65" i="41" s="1"/>
  <c r="O65" i="41" s="1"/>
  <c r="H7" i="41" l="1"/>
  <c r="F7" i="41" s="1"/>
  <c r="D50" i="41" l="1"/>
  <c r="N11" i="41"/>
  <c r="N10" i="41"/>
  <c r="N9" i="41"/>
  <c r="H8" i="41" l="1"/>
  <c r="F8" i="41" s="1"/>
  <c r="T9" i="41" l="1"/>
  <c r="U9" i="41" s="1"/>
  <c r="T10" i="41"/>
  <c r="U10" i="41" s="1"/>
  <c r="T11" i="41"/>
  <c r="U11" i="41" s="1"/>
  <c r="D51" i="41"/>
  <c r="N8" i="41"/>
  <c r="N7" i="41"/>
  <c r="N6" i="41"/>
  <c r="N5" i="41"/>
  <c r="G7" i="41" l="1"/>
  <c r="E50" i="41" s="1"/>
  <c r="Y71" i="41" l="1"/>
  <c r="Z70" i="41" s="1"/>
  <c r="O70" i="41" s="1"/>
  <c r="Y67" i="41"/>
  <c r="Z66" i="41" s="1"/>
  <c r="O66" i="41" s="1"/>
  <c r="H66" i="41"/>
  <c r="T5" i="41" l="1"/>
  <c r="U5" i="41" s="1"/>
  <c r="T6" i="41"/>
  <c r="U6" i="41" s="1"/>
  <c r="T7" i="41"/>
  <c r="U7" i="41" s="1"/>
  <c r="T8" i="41"/>
  <c r="U8" i="41" s="1"/>
  <c r="H64" i="41"/>
  <c r="F64" i="41" s="1"/>
  <c r="G8" i="41" l="1"/>
  <c r="E51" i="41" s="1"/>
  <c r="N66" i="41"/>
  <c r="N65" i="41"/>
  <c r="N64" i="41"/>
  <c r="D52" i="41"/>
  <c r="H72" i="41" l="1"/>
  <c r="T64" i="41" l="1"/>
  <c r="U64" i="41" s="1"/>
  <c r="T65" i="41"/>
  <c r="U65" i="41" s="1"/>
  <c r="T66" i="41"/>
  <c r="U66" i="41" s="1"/>
  <c r="H75" i="41"/>
  <c r="F75" i="41" s="1"/>
  <c r="H70" i="41"/>
  <c r="F70" i="41" s="1"/>
  <c r="G64" i="41" l="1"/>
  <c r="E52" i="41" s="1"/>
  <c r="N70" i="41"/>
  <c r="D53" i="41"/>
  <c r="N79" i="41"/>
  <c r="N78" i="41"/>
  <c r="N77" i="41"/>
  <c r="N76" i="41"/>
  <c r="N75" i="41"/>
  <c r="A70" i="41" l="1"/>
  <c r="A64" i="41"/>
  <c r="T70" i="41" l="1"/>
  <c r="U70" i="41" s="1"/>
  <c r="G75" i="41" l="1"/>
  <c r="G70" i="41"/>
  <c r="E53" i="4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VANDER ELST Michaël</author>
    <author>BILLIET Olivier</author>
    <author>STOEFS Jean-Louis</author>
  </authors>
  <commentList>
    <comment ref="C4" authorId="0" shapeId="0" xr:uid="{00000000-0006-0000-0100-000001000000}">
      <text>
        <r>
          <rPr>
            <b/>
            <sz val="9"/>
            <color indexed="81"/>
            <rFont val="Tahoma"/>
            <family val="2"/>
          </rPr>
          <t>VANDER ELST Michaël:</t>
        </r>
        <r>
          <rPr>
            <sz val="9"/>
            <color indexed="81"/>
            <rFont val="Tahoma"/>
            <family val="2"/>
          </rPr>
          <t xml:space="preserve">
Retrieved from Signaalrapport Kolom F + H
 [Nominaal Tarief + Consessie]</t>
        </r>
      </text>
    </comment>
    <comment ref="D4" authorId="0" shapeId="0" xr:uid="{00000000-0006-0000-0100-000002000000}">
      <text>
        <r>
          <rPr>
            <b/>
            <sz val="9"/>
            <color indexed="81"/>
            <rFont val="Tahoma"/>
            <family val="2"/>
          </rPr>
          <t>VANDER ELST Michaël:</t>
        </r>
        <r>
          <rPr>
            <sz val="9"/>
            <color indexed="81"/>
            <rFont val="Tahoma"/>
            <family val="2"/>
          </rPr>
          <t xml:space="preserve">
Retrieved from Signaalrapport Kolom E + G [Nominaal Tarief + Consessie]</t>
        </r>
      </text>
    </comment>
    <comment ref="C8" authorId="1" shapeId="0" xr:uid="{00000000-0006-0000-0100-000003000000}">
      <text>
        <r>
          <rPr>
            <b/>
            <sz val="9"/>
            <color indexed="81"/>
            <rFont val="Tahoma"/>
            <family val="2"/>
          </rPr>
          <t>BILLIET Olivier:</t>
        </r>
        <r>
          <rPr>
            <sz val="9"/>
            <color indexed="81"/>
            <rFont val="Tahoma"/>
            <family val="2"/>
          </rPr>
          <t xml:space="preserve">
link</t>
        </r>
      </text>
    </comment>
    <comment ref="C17" authorId="0" shapeId="0" xr:uid="{00000000-0006-0000-0100-000004000000}">
      <text>
        <r>
          <rPr>
            <b/>
            <sz val="9"/>
            <color indexed="81"/>
            <rFont val="Tahoma"/>
            <family val="2"/>
          </rPr>
          <t>VANDER ELST Michaël:</t>
        </r>
        <r>
          <rPr>
            <sz val="9"/>
            <color indexed="81"/>
            <rFont val="Tahoma"/>
            <family val="2"/>
          </rPr>
          <t xml:space="preserve">
Retrieved from Signaalrapport Kolom F + H [Nominaal Tarief + Consessie]</t>
        </r>
      </text>
    </comment>
    <comment ref="D17" authorId="0" shapeId="0" xr:uid="{00000000-0006-0000-0100-000005000000}">
      <text>
        <r>
          <rPr>
            <b/>
            <sz val="9"/>
            <color indexed="81"/>
            <rFont val="Tahoma"/>
            <family val="2"/>
          </rPr>
          <t>VANDER ELST Michaël:</t>
        </r>
        <r>
          <rPr>
            <sz val="9"/>
            <color indexed="81"/>
            <rFont val="Tahoma"/>
            <family val="2"/>
          </rPr>
          <t xml:space="preserve">
Retrieved from Signaalrapport Kolom E + G [Nominaal Tarief + Consessie]</t>
        </r>
      </text>
    </comment>
    <comment ref="C20" authorId="1" shapeId="0" xr:uid="{00000000-0006-0000-0100-000006000000}">
      <text>
        <r>
          <rPr>
            <b/>
            <sz val="9"/>
            <color indexed="81"/>
            <rFont val="Tahoma"/>
            <family val="2"/>
          </rPr>
          <t>BILLIET Olivier:</t>
        </r>
        <r>
          <rPr>
            <sz val="9"/>
            <color indexed="81"/>
            <rFont val="Tahoma"/>
            <family val="2"/>
          </rPr>
          <t xml:space="preserve">
link</t>
        </r>
      </text>
    </comment>
    <comment ref="C63" authorId="0" shapeId="0" xr:uid="{00000000-0006-0000-0100-000007000000}">
      <text>
        <r>
          <rPr>
            <b/>
            <sz val="9"/>
            <color indexed="81"/>
            <rFont val="Tahoma"/>
            <family val="2"/>
          </rPr>
          <t>VANDER ELST Michaël:</t>
        </r>
        <r>
          <rPr>
            <sz val="9"/>
            <color indexed="81"/>
            <rFont val="Tahoma"/>
            <family val="2"/>
          </rPr>
          <t xml:space="preserve">
Retrieved from Signaalrapport Kolom E + G [Nominaal Tarief + Consessie]</t>
        </r>
      </text>
    </comment>
    <comment ref="D63" authorId="0" shapeId="0" xr:uid="{00000000-0006-0000-0100-000008000000}">
      <text>
        <r>
          <rPr>
            <b/>
            <sz val="9"/>
            <color indexed="81"/>
            <rFont val="Tahoma"/>
            <family val="2"/>
          </rPr>
          <t>VANDER ELST Michaël:</t>
        </r>
        <r>
          <rPr>
            <sz val="9"/>
            <color indexed="81"/>
            <rFont val="Tahoma"/>
            <family val="2"/>
          </rPr>
          <t xml:space="preserve">
Retrieved from Signaalrapport Kolom E + G [Nominaal Tarief + Consessie]</t>
        </r>
      </text>
    </comment>
    <comment ref="C66" authorId="2" shapeId="0" xr:uid="{00000000-0006-0000-0100-000009000000}">
      <text>
        <r>
          <rPr>
            <b/>
            <sz val="9"/>
            <color indexed="81"/>
            <rFont val="Tahoma"/>
            <family val="2"/>
          </rPr>
          <t>STOEFS Jean-Louis:</t>
        </r>
        <r>
          <rPr>
            <sz val="9"/>
            <color indexed="81"/>
            <rFont val="Tahoma"/>
            <family val="2"/>
          </rPr>
          <t xml:space="preserve">
seems too low: should reflect the duration af a 10 year mortgge with 5,5m outstanding at year 10 if we believe in am scheme depicted in N64</t>
        </r>
      </text>
    </comment>
    <comment ref="C69" authorId="0" shapeId="0" xr:uid="{00000000-0006-0000-0100-00000A000000}">
      <text>
        <r>
          <rPr>
            <b/>
            <sz val="9"/>
            <color indexed="81"/>
            <rFont val="Tahoma"/>
            <family val="2"/>
          </rPr>
          <t>VANDER ELST Michaël:</t>
        </r>
        <r>
          <rPr>
            <sz val="9"/>
            <color indexed="81"/>
            <rFont val="Tahoma"/>
            <family val="2"/>
          </rPr>
          <t xml:space="preserve">
Retrieved from Signaalrapport Kolom E + G [Nominaal Tarief + Consessie]</t>
        </r>
      </text>
    </comment>
    <comment ref="D69" authorId="0" shapeId="0" xr:uid="{00000000-0006-0000-0100-00000B000000}">
      <text>
        <r>
          <rPr>
            <b/>
            <sz val="9"/>
            <color indexed="81"/>
            <rFont val="Tahoma"/>
            <family val="2"/>
          </rPr>
          <t>VANDER ELST Michaël:</t>
        </r>
        <r>
          <rPr>
            <sz val="9"/>
            <color indexed="81"/>
            <rFont val="Tahoma"/>
            <family val="2"/>
          </rPr>
          <t xml:space="preserve">
Retrieved from Signaalrapport Kolom E + G [Nominaal Tarief + Consessie]</t>
        </r>
      </text>
    </comment>
    <comment ref="C72" authorId="2" shapeId="0" xr:uid="{00000000-0006-0000-0100-00000C000000}">
      <text>
        <r>
          <rPr>
            <b/>
            <sz val="9"/>
            <color indexed="81"/>
            <rFont val="Tahoma"/>
            <family val="2"/>
          </rPr>
          <t>STOEFS Jean-Louis:</t>
        </r>
        <r>
          <rPr>
            <sz val="9"/>
            <color indexed="81"/>
            <rFont val="Tahoma"/>
            <family val="2"/>
          </rPr>
          <t xml:space="preserve">
does not seem correct: should be above 10 year</t>
        </r>
      </text>
    </comment>
    <comment ref="C74" authorId="0" shapeId="0" xr:uid="{24FAB14C-2109-42A3-84CF-15064C34FDEA}">
      <text>
        <r>
          <rPr>
            <b/>
            <sz val="9"/>
            <color indexed="81"/>
            <rFont val="Tahoma"/>
            <family val="2"/>
          </rPr>
          <t>VANDER ELST Michaël:</t>
        </r>
        <r>
          <rPr>
            <sz val="9"/>
            <color indexed="81"/>
            <rFont val="Tahoma"/>
            <family val="2"/>
          </rPr>
          <t xml:space="preserve">
Retrieved from Signaalrapport Kolom E + G [Nominaal Tarief + Consessie]</t>
        </r>
      </text>
    </comment>
    <comment ref="D74" authorId="0" shapeId="0" xr:uid="{F793E366-C66B-4BF2-8182-8B360906F610}">
      <text>
        <r>
          <rPr>
            <b/>
            <sz val="9"/>
            <color indexed="81"/>
            <rFont val="Tahoma"/>
            <family val="2"/>
          </rPr>
          <t>VANDER ELST Michaël:</t>
        </r>
        <r>
          <rPr>
            <sz val="9"/>
            <color indexed="81"/>
            <rFont val="Tahoma"/>
            <family val="2"/>
          </rPr>
          <t xml:space="preserve">
Retrieved from Signaalrapport Kolom E + G [Nominaal Tarief + Consessie]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VANDER ELST Michaël</author>
    <author>BILLIET Olivier</author>
    <author>STOEFS Jean-Louis</author>
  </authors>
  <commentList>
    <comment ref="C4" authorId="0" shapeId="0" xr:uid="{7910C4D4-A402-4390-AB75-C57AE2504F26}">
      <text>
        <r>
          <rPr>
            <b/>
            <sz val="9"/>
            <color indexed="81"/>
            <rFont val="Tahoma"/>
            <family val="2"/>
          </rPr>
          <t>VANDER ELST Michaël:</t>
        </r>
        <r>
          <rPr>
            <sz val="9"/>
            <color indexed="81"/>
            <rFont val="Tahoma"/>
            <family val="2"/>
          </rPr>
          <t xml:space="preserve">
Retrieved from Signaalrapport Kolom F + H
 [Nominaal Tarief + Consessie]</t>
        </r>
      </text>
    </comment>
    <comment ref="D4" authorId="0" shapeId="0" xr:uid="{1CEE881A-9FA5-4C01-8DD0-E7CCCDDA4171}">
      <text>
        <r>
          <rPr>
            <b/>
            <sz val="9"/>
            <color indexed="81"/>
            <rFont val="Tahoma"/>
            <family val="2"/>
          </rPr>
          <t>VANDER ELST Michaël:</t>
        </r>
        <r>
          <rPr>
            <sz val="9"/>
            <color indexed="81"/>
            <rFont val="Tahoma"/>
            <family val="2"/>
          </rPr>
          <t xml:space="preserve">
Retrieved from Signaalrapport Kolom E + G [Nominaal Tarief + Consessie]</t>
        </r>
      </text>
    </comment>
    <comment ref="C8" authorId="1" shapeId="0" xr:uid="{87052423-C16C-49F5-AB82-CD87E057598E}">
      <text>
        <r>
          <rPr>
            <b/>
            <sz val="9"/>
            <color indexed="81"/>
            <rFont val="Tahoma"/>
            <family val="2"/>
          </rPr>
          <t>BILLIET Olivier:</t>
        </r>
        <r>
          <rPr>
            <sz val="9"/>
            <color indexed="81"/>
            <rFont val="Tahoma"/>
            <family val="2"/>
          </rPr>
          <t xml:space="preserve">
link</t>
        </r>
      </text>
    </comment>
    <comment ref="C17" authorId="0" shapeId="0" xr:uid="{289910FA-B549-41EE-8A2E-0E9CB1676C22}">
      <text>
        <r>
          <rPr>
            <b/>
            <sz val="9"/>
            <color indexed="81"/>
            <rFont val="Tahoma"/>
            <family val="2"/>
          </rPr>
          <t>VANDER ELST Michaël:</t>
        </r>
        <r>
          <rPr>
            <sz val="9"/>
            <color indexed="81"/>
            <rFont val="Tahoma"/>
            <family val="2"/>
          </rPr>
          <t xml:space="preserve">
Retrieved from Signaalrapport Kolom F + H [Nominaal Tarief + Consessie]</t>
        </r>
      </text>
    </comment>
    <comment ref="D17" authorId="0" shapeId="0" xr:uid="{5C489044-4E76-4B34-BDC7-15B2B7D35C82}">
      <text>
        <r>
          <rPr>
            <b/>
            <sz val="9"/>
            <color indexed="81"/>
            <rFont val="Tahoma"/>
            <family val="2"/>
          </rPr>
          <t>VANDER ELST Michaël:</t>
        </r>
        <r>
          <rPr>
            <sz val="9"/>
            <color indexed="81"/>
            <rFont val="Tahoma"/>
            <family val="2"/>
          </rPr>
          <t xml:space="preserve">
Retrieved from Signaalrapport Kolom E + G [Nominaal Tarief + Consessie]</t>
        </r>
      </text>
    </comment>
    <comment ref="C20" authorId="1" shapeId="0" xr:uid="{D366FC2E-5FC1-421F-B3B3-788A5A4B1F4E}">
      <text>
        <r>
          <rPr>
            <b/>
            <sz val="9"/>
            <color indexed="81"/>
            <rFont val="Tahoma"/>
            <family val="2"/>
          </rPr>
          <t>BILLIET Olivier:</t>
        </r>
        <r>
          <rPr>
            <sz val="9"/>
            <color indexed="81"/>
            <rFont val="Tahoma"/>
            <family val="2"/>
          </rPr>
          <t xml:space="preserve">
link</t>
        </r>
      </text>
    </comment>
    <comment ref="C63" authorId="0" shapeId="0" xr:uid="{BB42BDDD-8E92-4B08-A38D-74F3010F74C0}">
      <text>
        <r>
          <rPr>
            <b/>
            <sz val="9"/>
            <color indexed="81"/>
            <rFont val="Tahoma"/>
            <family val="2"/>
          </rPr>
          <t>VANDER ELST Michaël:</t>
        </r>
        <r>
          <rPr>
            <sz val="9"/>
            <color indexed="81"/>
            <rFont val="Tahoma"/>
            <family val="2"/>
          </rPr>
          <t xml:space="preserve">
Retrieved from Signaalrapport Kolom E + G [Nominaal Tarief + Consessie]</t>
        </r>
      </text>
    </comment>
    <comment ref="D63" authorId="0" shapeId="0" xr:uid="{75EDDC6D-86F0-4E55-8AB2-D7F5FE546855}">
      <text>
        <r>
          <rPr>
            <b/>
            <sz val="9"/>
            <color indexed="81"/>
            <rFont val="Tahoma"/>
            <family val="2"/>
          </rPr>
          <t>VANDER ELST Michaël:</t>
        </r>
        <r>
          <rPr>
            <sz val="9"/>
            <color indexed="81"/>
            <rFont val="Tahoma"/>
            <family val="2"/>
          </rPr>
          <t xml:space="preserve">
Retrieved from Signaalrapport Kolom E + G [Nominaal Tarief + Consessie]</t>
        </r>
      </text>
    </comment>
    <comment ref="C66" authorId="2" shapeId="0" xr:uid="{1A07DEC1-00FC-48C0-A789-F6F13C864545}">
      <text>
        <r>
          <rPr>
            <b/>
            <sz val="9"/>
            <color indexed="81"/>
            <rFont val="Tahoma"/>
            <family val="2"/>
          </rPr>
          <t>STOEFS Jean-Louis:</t>
        </r>
        <r>
          <rPr>
            <sz val="9"/>
            <color indexed="81"/>
            <rFont val="Tahoma"/>
            <family val="2"/>
          </rPr>
          <t xml:space="preserve">
seems too low: should reflect the duration af a 10 year mortgge with 5,5m outstanding at year 10 if we believe in am scheme depicted in N64</t>
        </r>
      </text>
    </comment>
    <comment ref="C69" authorId="0" shapeId="0" xr:uid="{327512F2-65A4-460F-968D-8CDFA56C738C}">
      <text>
        <r>
          <rPr>
            <b/>
            <sz val="9"/>
            <color indexed="81"/>
            <rFont val="Tahoma"/>
            <family val="2"/>
          </rPr>
          <t>VANDER ELST Michaël:</t>
        </r>
        <r>
          <rPr>
            <sz val="9"/>
            <color indexed="81"/>
            <rFont val="Tahoma"/>
            <family val="2"/>
          </rPr>
          <t xml:space="preserve">
Retrieved from Signaalrapport Kolom E + G [Nominaal Tarief + Consessie]</t>
        </r>
      </text>
    </comment>
    <comment ref="D69" authorId="0" shapeId="0" xr:uid="{952DBDF1-4005-451A-B1DB-9559C5467290}">
      <text>
        <r>
          <rPr>
            <b/>
            <sz val="9"/>
            <color indexed="81"/>
            <rFont val="Tahoma"/>
            <family val="2"/>
          </rPr>
          <t>VANDER ELST Michaël:</t>
        </r>
        <r>
          <rPr>
            <sz val="9"/>
            <color indexed="81"/>
            <rFont val="Tahoma"/>
            <family val="2"/>
          </rPr>
          <t xml:space="preserve">
Retrieved from Signaalrapport Kolom E + G [Nominaal Tarief + Consessie]</t>
        </r>
      </text>
    </comment>
    <comment ref="C72" authorId="2" shapeId="0" xr:uid="{26AC7E45-5220-4953-BC09-318AA3F66E3A}">
      <text>
        <r>
          <rPr>
            <b/>
            <sz val="9"/>
            <color indexed="81"/>
            <rFont val="Tahoma"/>
            <family val="2"/>
          </rPr>
          <t>STOEFS Jean-Louis:</t>
        </r>
        <r>
          <rPr>
            <sz val="9"/>
            <color indexed="81"/>
            <rFont val="Tahoma"/>
            <family val="2"/>
          </rPr>
          <t xml:space="preserve">
does not seem correct: should be above 10 year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<sst xmlns="http://schemas.openxmlformats.org/spreadsheetml/2006/main" count="1758" uniqueCount="703">
  <si>
    <t>EUR</t>
  </si>
  <si>
    <t>USD</t>
  </si>
  <si>
    <t>European</t>
  </si>
  <si>
    <t>FIXED_FLOAT</t>
  </si>
  <si>
    <t>SWAPTION_EUROPEAN</t>
  </si>
  <si>
    <t>FLOAT_FLOAT</t>
  </si>
  <si>
    <t>FIXED_FIXED</t>
  </si>
  <si>
    <t>FLOOR</t>
  </si>
  <si>
    <t>SWAPTION_AMERICAN</t>
  </si>
  <si>
    <t>SWAPTION_BERMUDAN</t>
  </si>
  <si>
    <t>CS_EUROPEAN</t>
  </si>
  <si>
    <t>CS_AMERICAN</t>
  </si>
  <si>
    <t>CS_BERMUDAN</t>
  </si>
  <si>
    <t>AUD</t>
  </si>
  <si>
    <t>CAD</t>
  </si>
  <si>
    <t>CNY</t>
  </si>
  <si>
    <t>CZK</t>
  </si>
  <si>
    <t>DKK</t>
  </si>
  <si>
    <t>GBP</t>
  </si>
  <si>
    <t>HKD</t>
  </si>
  <si>
    <t>HUF</t>
  </si>
  <si>
    <t>INR</t>
  </si>
  <si>
    <t>JPY</t>
  </si>
  <si>
    <t>MXN</t>
  </si>
  <si>
    <t>MYR</t>
  </si>
  <si>
    <t>NOK</t>
  </si>
  <si>
    <t>NZD</t>
  </si>
  <si>
    <t>TWD</t>
  </si>
  <si>
    <t>ZAR</t>
  </si>
  <si>
    <t>FIRM</t>
  </si>
  <si>
    <t>ARS</t>
  </si>
  <si>
    <t>COP</t>
  </si>
  <si>
    <t xml:space="preserve"> </t>
  </si>
  <si>
    <t>MUNI</t>
  </si>
  <si>
    <t>NDS_FIXED_FLOAT</t>
  </si>
  <si>
    <t>NDIRS_FIXED_FLOAT</t>
  </si>
  <si>
    <t>INFLATION_FLOAT_ZC</t>
  </si>
  <si>
    <t>INFLATION_FIXED_ZC</t>
  </si>
  <si>
    <t>OIS</t>
  </si>
  <si>
    <t>ASIAN_FIXED_FLOAT</t>
  </si>
  <si>
    <t>BRL</t>
  </si>
  <si>
    <t>CMS_CAP</t>
  </si>
  <si>
    <t>ASIAN_CAP</t>
  </si>
  <si>
    <t>INFLATION_CAP_YOY</t>
  </si>
  <si>
    <t>FRA</t>
  </si>
  <si>
    <t>IMM</t>
  </si>
  <si>
    <t>CMS_FLOOR</t>
  </si>
  <si>
    <t>CMS_CAPSPREAD</t>
  </si>
  <si>
    <t>CMS_FLOORSPREAD</t>
  </si>
  <si>
    <t>CMS_COLLAR</t>
  </si>
  <si>
    <t>CMS_STRADDLE</t>
  </si>
  <si>
    <t>ASIAN_FLOOR</t>
  </si>
  <si>
    <t>ASIAN_FLOAT_FLOAT</t>
  </si>
  <si>
    <t>SWAPTION_EUROPEAN_FSS</t>
  </si>
  <si>
    <t>NDS_FIXED_FIXED</t>
  </si>
  <si>
    <t>NDS_FLOAT_FLOAT</t>
  </si>
  <si>
    <t>INFLATION_FIXED_YOY</t>
  </si>
  <si>
    <t>INFLATION_FLOAT_YOY</t>
  </si>
  <si>
    <t>INFLATION_FIXED_LPI</t>
  </si>
  <si>
    <t>INFLATION_FLOAT_LPI</t>
  </si>
  <si>
    <t>INFLATION_REAL_FIXED</t>
  </si>
  <si>
    <t>INFLATION_REAL_FLOAT</t>
  </si>
  <si>
    <t>INFLATION_ZC_REAL_FIXED</t>
  </si>
  <si>
    <t>INFLATION_ZC_REAL_FLOAT</t>
  </si>
  <si>
    <t>INFLATION_FLOOR_YOY</t>
  </si>
  <si>
    <t>CLP</t>
  </si>
  <si>
    <t>BGN</t>
  </si>
  <si>
    <t>XAF</t>
  </si>
  <si>
    <t>CRC</t>
  </si>
  <si>
    <t>DOP</t>
  </si>
  <si>
    <t>EGP</t>
  </si>
  <si>
    <t>GHS</t>
  </si>
  <si>
    <t>ISK</t>
  </si>
  <si>
    <t>IDR</t>
  </si>
  <si>
    <t>ILS</t>
  </si>
  <si>
    <t>KZT</t>
  </si>
  <si>
    <t>KES</t>
  </si>
  <si>
    <t>MWK</t>
  </si>
  <si>
    <t>MUR</t>
  </si>
  <si>
    <t>NGN</t>
  </si>
  <si>
    <t>LOAN_FIXED</t>
  </si>
  <si>
    <t>LOAN_FLOAT</t>
  </si>
  <si>
    <t>LOAN_FIXED_CANCELLABLE</t>
  </si>
  <si>
    <t>EQTY_ASSET_FLT</t>
  </si>
  <si>
    <t>AED</t>
  </si>
  <si>
    <t>1MLIBOR</t>
  </si>
  <si>
    <t>Amount</t>
  </si>
  <si>
    <t>CAP</t>
  </si>
  <si>
    <t>INFLATION_FIXED_ZERO</t>
  </si>
  <si>
    <t>CHF</t>
  </si>
  <si>
    <t>6MLIBOR</t>
  </si>
  <si>
    <t>ARREARS</t>
  </si>
  <si>
    <t>CAPPED_FLOATER</t>
  </si>
  <si>
    <t>CAPSPREAD</t>
  </si>
  <si>
    <t>CMS</t>
  </si>
  <si>
    <t>COLLAR</t>
  </si>
  <si>
    <t>COLLARED_FLOATER</t>
  </si>
  <si>
    <t>CPAPER</t>
  </si>
  <si>
    <t>EQTY_ASSET_FIX</t>
  </si>
  <si>
    <t>FFUND</t>
  </si>
  <si>
    <t>FIXED_FLOAT_AMORT</t>
  </si>
  <si>
    <t>FLOORED_FLOATER</t>
  </si>
  <si>
    <t>FLOORSPREAD</t>
  </si>
  <si>
    <t>INFLATION_BOND_FIXED</t>
  </si>
  <si>
    <t>INFLATION_BOND_FLOAT</t>
  </si>
  <si>
    <t>INFLATION_CAP_ZC</t>
  </si>
  <si>
    <t>INFLATION_FLOAT_ZERO</t>
  </si>
  <si>
    <t>INFLATION_FLOOR_ZC</t>
  </si>
  <si>
    <t>INFLATION_INCOME_FIXED</t>
  </si>
  <si>
    <t>MUNI_FLOAT</t>
  </si>
  <si>
    <t>NDS_OIS</t>
  </si>
  <si>
    <t>PRIME</t>
  </si>
  <si>
    <t>SNOWBALL</t>
  </si>
  <si>
    <t>SNOWBEAR</t>
  </si>
  <si>
    <t>SNOWBLADE</t>
  </si>
  <si>
    <t>STRADDLE</t>
  </si>
  <si>
    <t>TBILL</t>
  </si>
  <si>
    <t>THUNDERBALL</t>
  </si>
  <si>
    <t>TOTAL_RETURN</t>
  </si>
  <si>
    <t>ZCPN</t>
  </si>
  <si>
    <t>BHD</t>
  </si>
  <si>
    <t>CLF</t>
  </si>
  <si>
    <t>CNH</t>
  </si>
  <si>
    <t>HRK</t>
  </si>
  <si>
    <t>ILs</t>
  </si>
  <si>
    <t>IQD</t>
  </si>
  <si>
    <t>JMD</t>
  </si>
  <si>
    <t>JOD</t>
  </si>
  <si>
    <t>KPW</t>
  </si>
  <si>
    <t>KRW</t>
  </si>
  <si>
    <t>KWD</t>
  </si>
  <si>
    <t>LBP</t>
  </si>
  <si>
    <t>MAD</t>
  </si>
  <si>
    <t>OMR</t>
  </si>
  <si>
    <t>PEN</t>
  </si>
  <si>
    <t>PHP</t>
  </si>
  <si>
    <t>PKR</t>
  </si>
  <si>
    <t>PLN</t>
  </si>
  <si>
    <t>QAR</t>
  </si>
  <si>
    <t>RON</t>
  </si>
  <si>
    <t>RUB</t>
  </si>
  <si>
    <t>SAR</t>
  </si>
  <si>
    <t>SEK</t>
  </si>
  <si>
    <t>SGD</t>
  </si>
  <si>
    <t>SKK</t>
  </si>
  <si>
    <t>SYP</t>
  </si>
  <si>
    <t>THB</t>
  </si>
  <si>
    <t>TRY</t>
  </si>
  <si>
    <t>TTD</t>
  </si>
  <si>
    <t>TZS</t>
  </si>
  <si>
    <t>UAH</t>
  </si>
  <si>
    <t>UGX</t>
  </si>
  <si>
    <t>VND</t>
  </si>
  <si>
    <t>New York</t>
  </si>
  <si>
    <t>Currency</t>
  </si>
  <si>
    <t>London</t>
  </si>
  <si>
    <t>Eastern</t>
  </si>
  <si>
    <t>New_York</t>
  </si>
  <si>
    <t>NY</t>
  </si>
  <si>
    <t>Eniwetok</t>
  </si>
  <si>
    <t>Midway</t>
  </si>
  <si>
    <t>Haway</t>
  </si>
  <si>
    <t>Alaska</t>
  </si>
  <si>
    <t>Pacific</t>
  </si>
  <si>
    <t>Mountain</t>
  </si>
  <si>
    <t>Arizona</t>
  </si>
  <si>
    <t>Mexico</t>
  </si>
  <si>
    <t>Central</t>
  </si>
  <si>
    <t>Saskatchewan</t>
  </si>
  <si>
    <t>Indiana</t>
  </si>
  <si>
    <t>Bogota</t>
  </si>
  <si>
    <t>Chile</t>
  </si>
  <si>
    <t>Caracas</t>
  </si>
  <si>
    <t>Atlantic</t>
  </si>
  <si>
    <t>Newfoundland</t>
  </si>
  <si>
    <t>Buenos_aires</t>
  </si>
  <si>
    <t>Sao Paulo</t>
  </si>
  <si>
    <t>Ptax</t>
  </si>
  <si>
    <t>Brasilia</t>
  </si>
  <si>
    <t>Mid_atlantic</t>
  </si>
  <si>
    <t>Azores</t>
  </si>
  <si>
    <t>Gmt</t>
  </si>
  <si>
    <t>Middle_european</t>
  </si>
  <si>
    <t>Athens</t>
  </si>
  <si>
    <t>Eastern_european</t>
  </si>
  <si>
    <t>Harare</t>
  </si>
  <si>
    <t>Israel</t>
  </si>
  <si>
    <t>Cairo</t>
  </si>
  <si>
    <t>Kuwait</t>
  </si>
  <si>
    <t>Moscow</t>
  </si>
  <si>
    <t>Tehran</t>
  </si>
  <si>
    <t>Abu_dhabi</t>
  </si>
  <si>
    <t>Kabul</t>
  </si>
  <si>
    <t>Islamabad</t>
  </si>
  <si>
    <t>Mumbai</t>
  </si>
  <si>
    <t>Dhaka</t>
  </si>
  <si>
    <t>Bangkok</t>
  </si>
  <si>
    <t>Beijing</t>
  </si>
  <si>
    <t>Hong_kong</t>
  </si>
  <si>
    <t>Tokyo</t>
  </si>
  <si>
    <t>Adelaide</t>
  </si>
  <si>
    <t>Darwin</t>
  </si>
  <si>
    <t>Canberra</t>
  </si>
  <si>
    <t>Brisbane</t>
  </si>
  <si>
    <t>Hobart</t>
  </si>
  <si>
    <t>Kamchatka</t>
  </si>
  <si>
    <t>Wellington</t>
  </si>
  <si>
    <t>Fiji</t>
  </si>
  <si>
    <t>Almaty</t>
  </si>
  <si>
    <t>Magadan</t>
  </si>
  <si>
    <t>pricingNum</t>
  </si>
  <si>
    <t>uuid</t>
  </si>
  <si>
    <t>firmNum</t>
  </si>
  <si>
    <t>Excel/VBA - [pasteHyperLink] : Success</t>
  </si>
  <si>
    <t xml:space="preserve">response = </t>
  </si>
  <si>
    <t xml:space="preserve">
    uploadResponse = </t>
  </si>
  <si>
    <t xml:space="preserve">
            assetClassesResponse = </t>
  </si>
  <si>
    <t xml:space="preserve">
                    securitiesResponse = </t>
  </si>
  <si>
    <t xml:space="preserve">
            errorCode = 0
        }
    }
}
</t>
  </si>
  <si>
    <t>assetClasses 0</t>
  </si>
  <si>
    <t>assetClassType</t>
  </si>
  <si>
    <t xml:space="preserve">assetClassType = CSV_TYPE_SWPM
</t>
  </si>
  <si>
    <t>assetClassHeader</t>
  </si>
  <si>
    <t xml:space="preserve">assetClassHeader[] = </t>
  </si>
  <si>
    <t xml:space="preserve">
    assetClassHeader = </t>
  </si>
  <si>
    <t xml:space="preserve">
        assetClassHeaderRow[] = </t>
  </si>
  <si>
    <t xml:space="preserve">
            "TYPE", "SWAP"
        }
    }
    assetClassHeader = </t>
  </si>
  <si>
    <t xml:space="preserve">
            "VERSION", "5"
        }
    }
    assetClassHeader = </t>
  </si>
  <si>
    <t xml:space="preserve">
            "ACTION", "ADD"
        }
    }
    assetClassHeader = </t>
  </si>
  <si>
    <t xml:space="preserve">
            "MODE", "TABULAR"
        }
    }
    assetClassHeader = </t>
  </si>
  <si>
    <t xml:space="preserve">
            "FIELDS", ""
        }
    }
}
</t>
  </si>
  <si>
    <t>securityHeader</t>
  </si>
  <si>
    <t xml:space="preserve">securityHeader[] = </t>
  </si>
  <si>
    <t xml:space="preserve">
    "PORTFOLIO_NAME", "PORTFOLIO_ACTION", "PORTFOLIO_POSITION", "PORTFOLIO_COST_PRICE", "PORTFOLIO_STRATEGY", "PORTFOLIO_COST_DATE", "PORTFOLIO_COST_FX", "PORTFOLIO_COST_CURRENCY", "PORTFOLIO_CURRENCY", "PORTFOLIO_NOTES", "SWAP TYPE", "DEAL CUSIP", "ONE LEG DEALS PAY RECEIVE", "CURRENCY", "DEAL NOTIONAL", "DEAL EFFECTIVE DATE", "DEAL MATURITY DATE", "SWAP COUNTERPARTY", "CCP", "FCM", "PRIVILEGE", "DEAL SERIES", "CUSTOM ID", "CUSTOM ID1", "CUSTOM ID2", "DEAL FEE", "PRINCIPAL EXCHANGE", "PAY LEG CURRENCY", "RECEIVE LEG CURRENCY", "PAY LEG NOTIONAL", "RECEIVE LEG NOTIONAL", "PAY LEG COUPON TYPE", "RECEIVE LEG COUPON TYPE", "PAY LEG EFFECTIVE DATE", "RECEIVE LEG EFFECTIVE DATE", "PAY LEG MATURITY", "RECEIVE LEG MATURITY", "PAY LEG INDEX NAME", "PAY LEG COUPON", "PAY LEG RESET FREQUENCY", "PAY LEG SPREAD", "PAY LEG PAY FREQUENCY", "PAY LEG DAYCOUNT", "PAY LEG BUSINESS DAY ADJ", "PAY LEG LEVERAGE", "RECEIVE LEG INDEX NAME", "RECEIVE LEG COUPON", "RECEIVE LEG RESET FREQUENCY", "RECEIVE LEG SPREAD", "RECEIVE LEG PAY FREQUENCY", "RECEIVE LEG DAYCOUNT", "RECEIVE LEG BUSINESS DAY ADJ", "RECEIVE LEG LEVERAGE", "PAY LEG FIRST PAYMENT DATE", "PAY LEG NEXT TO LAST PAYMENT DATE", "RECEIVE LEG FIRST PAYMENT DATE", "RECEIVE LEG NEXT TO LAST PAYMENT DATE", "RATE", "DAYCOUNT", "PAY FREQUENCY", "RESET FREQUENCY", "BUSINESS DAY ADJ", "CALC BASIS", "INDEX NAME", "MODEL", "FV NOTIONAL", "DELIVERY CURRENCY", "CPI COUNTRY", "LAG AND INTERPOLATION", "INFLATION LEG CAP", "INFLATION LEG FLOOR", "OPTION TYPE", "OPTION FIRST CALL DATE", "OPTION CALL FREQUENCY", "POSITION", "STRIKE", "OPTION IS DIGITAL", "OPTION IS DIGITAL INCL", "OPTION DIGITAL COUPON", "ASSET NOTIONAL TYPE", "ASSET INITIAL NOTIONAL", "TRS ASSET INDEX NAME", "FUNDING LEG FEE FLOOR", "", "", "", "", "", "", "", "", "", "", "", "", "", "", "", "", "", "", "", "", "", "", "", "", "", "", "", "", "", "", "", "", "", "", "", "", "", "", "", "", "", "", ""
}
</t>
  </si>
  <si>
    <t>securities</t>
  </si>
  <si>
    <t xml:space="preserve">securities = </t>
  </si>
  <si>
    <t xml:space="preserve">
        securityInfoRows = </t>
  </si>
  <si>
    <t xml:space="preserve">
            securityInfoRow[] = </t>
  </si>
  <si>
    <t>assetClasses 1</t>
  </si>
  <si>
    <t xml:space="preserve">
            "ACTION", "UPDATE"
        }
    }
    assetClassHeader = </t>
  </si>
  <si>
    <t>assetClasses 2</t>
  </si>
  <si>
    <t xml:space="preserve">
            "ACTION", "DELETE"
        }
    }
    assetClassHeader = </t>
  </si>
  <si>
    <t xml:space="preserve">
                assetClassType = CSV_TYPE_SWPM
                securitiesResponse[] = </t>
  </si>
  <si>
    <t xml:space="preserve">
    securityExcelID = "13"
    securityInfoRows[] = </t>
  </si>
  <si>
    <t xml:space="preserve">
    securityExcelID = "14"
    securityInfoRows[] = </t>
  </si>
  <si>
    <t xml:space="preserve">
    securityExcelID = "15"
    securityInfoRows[] = </t>
  </si>
  <si>
    <t xml:space="preserve">
    securityExcelID = "16"
    securityInfoRows[] = </t>
  </si>
  <si>
    <t xml:space="preserve">
    securityExcelID = "17"
    securityInfoRows[] = </t>
  </si>
  <si>
    <t xml:space="preserve">
    securityExcelID = "18"
    securityInfoRows[] = </t>
  </si>
  <si>
    <t xml:space="preserve">
    securityExcelID = "19"
    securityInfoRows[] = </t>
  </si>
  <si>
    <t xml:space="preserve">
    securityExcelID = "20"
    securityInfoRows[] = </t>
  </si>
  <si>
    <t xml:space="preserve">
    securityExcelID = "21"
    securityInfoRows[] = </t>
  </si>
  <si>
    <t xml:space="preserve">
    securityExcelID = "22"
    securityInfoRows[] = </t>
  </si>
  <si>
    <t>EUSA1 Curncy</t>
  </si>
  <si>
    <t>EUSA2 Curncy</t>
  </si>
  <si>
    <t>EUSA3 Curncy</t>
  </si>
  <si>
    <t>EUSA4 Curncy</t>
  </si>
  <si>
    <t>EUSA5 Curncy</t>
  </si>
  <si>
    <t>EUSA6 Curncy</t>
  </si>
  <si>
    <t>EUSA7 Curncy</t>
  </si>
  <si>
    <t>EUSA8 Curncy</t>
  </si>
  <si>
    <t>EUSA9 Curncy</t>
  </si>
  <si>
    <t>EUSA10 Curncy</t>
  </si>
  <si>
    <t>EUSA11 Curncy</t>
  </si>
  <si>
    <t>EUSA12 Curncy</t>
  </si>
  <si>
    <t>EUSA13 Curncy</t>
  </si>
  <si>
    <t>EUSA14 Curncy</t>
  </si>
  <si>
    <t>EUSA15 Curncy</t>
  </si>
  <si>
    <t>EUSA16 Curncy</t>
  </si>
  <si>
    <t>EUSA17 Curncy</t>
  </si>
  <si>
    <t>EUSA18 Curncy</t>
  </si>
  <si>
    <t>EUSA19 Curncy</t>
  </si>
  <si>
    <t>EUSA20 Curncy</t>
  </si>
  <si>
    <t>EUSA21 Curncy</t>
  </si>
  <si>
    <t>EUSA22 Curncy</t>
  </si>
  <si>
    <t>EUSA23 Curncy</t>
  </si>
  <si>
    <t>EUSA24 Curncy</t>
  </si>
  <si>
    <t>EUSA25 Curncy</t>
  </si>
  <si>
    <t>EUSA26 Curncy</t>
  </si>
  <si>
    <t>EUSA27 Curncy</t>
  </si>
  <si>
    <t>EUSA28 Curncy</t>
  </si>
  <si>
    <t>EUSA29 Curncy</t>
  </si>
  <si>
    <t>EUSA30 Curncy</t>
  </si>
  <si>
    <t>RQ005</t>
  </si>
  <si>
    <t>Date</t>
  </si>
  <si>
    <t>Rate</t>
  </si>
  <si>
    <t>Maturity in Months</t>
  </si>
  <si>
    <t>Monthly Rate</t>
  </si>
  <si>
    <t>Embedded Strike</t>
  </si>
  <si>
    <t>DV01</t>
  </si>
  <si>
    <t>Vega</t>
  </si>
  <si>
    <t>Net Premium</t>
  </si>
  <si>
    <t>Gross Premium</t>
  </si>
  <si>
    <t>BP per Annum</t>
  </si>
  <si>
    <t>Paid Premium</t>
  </si>
  <si>
    <t>CPR</t>
  </si>
  <si>
    <t xml:space="preserve">
    securityExcelID = "23"
    securityInfoRows[] = </t>
  </si>
  <si>
    <t xml:space="preserve">
    securityExcelID = "24"
    securityInfoRows[] = </t>
  </si>
  <si>
    <t xml:space="preserve">
    securityExcelID = "25"
    securityInfoRows[] = </t>
  </si>
  <si>
    <t xml:space="preserve">
    securityExcelID = "26"
    securityInfoRows[] = </t>
  </si>
  <si>
    <t xml:space="preserve">
    securityExcelID = "27"
    securityInfoRows[] = </t>
  </si>
  <si>
    <t xml:space="preserve">
    securityExcelID = "28"
    securityInfoRows[] = </t>
  </si>
  <si>
    <t xml:space="preserve">
    securityExcelID = "29"
    securityInfoRows[] = </t>
  </si>
  <si>
    <t xml:space="preserve">
    securityExcelID = "30"
    securityInfoRows[] = </t>
  </si>
  <si>
    <t xml:space="preserve">
    securityExcelID = "31"
    securityInfoRows[] = </t>
  </si>
  <si>
    <t xml:space="preserve">
    securityExcelID = "32"
    securityInfoRows[] = </t>
  </si>
  <si>
    <t xml:space="preserve">
    securityExcelID = "33"
    securityInfoRows[] = </t>
  </si>
  <si>
    <t xml:space="preserve">
    securityExcelID = "34"
    securityInfoRows[] = </t>
  </si>
  <si>
    <t xml:space="preserve">
    securityExcelID = "35"
    securityInfoRows[] = </t>
  </si>
  <si>
    <t xml:space="preserve">
    securityExcelID = "36"
    securityInfoRows[] = </t>
  </si>
  <si>
    <t xml:space="preserve">
    securityExcelID = "37"
    securityInfoRows[] = </t>
  </si>
  <si>
    <t xml:space="preserve">
    securityExcelID = "38"
    securityInfoRows[] = </t>
  </si>
  <si>
    <t xml:space="preserve">
    securityExcelID = "39"
    securityInfoRows[] = </t>
  </si>
  <si>
    <t xml:space="preserve">
    securityExcelID = "40"
    securityInfoRows[] = </t>
  </si>
  <si>
    <t xml:space="preserve">
    securityExcelID = "41"
    securityInfoRows[] = </t>
  </si>
  <si>
    <t xml:space="preserve">
    securityExcelID = "42"
    securityInfoRows[] = </t>
  </si>
  <si>
    <t xml:space="preserve">
    securityExcelID = "43"
    securityInfoRows[] = </t>
  </si>
  <si>
    <t xml:space="preserve">
    securityExcelID = "44"
    securityInfoRows[] = </t>
  </si>
  <si>
    <t xml:space="preserve">
    securityExcelID = "45"
    securityInfoRows[] = </t>
  </si>
  <si>
    <t xml:space="preserve">
    securityExcelID = "46"
    securityInfoRows[] = </t>
  </si>
  <si>
    <t xml:space="preserve">
    securityExcelID = "47"
    securityInfoRows[] = </t>
  </si>
  <si>
    <t xml:space="preserve">
    securityExcelID = "48"
    securityInfoRows[] = </t>
  </si>
  <si>
    <t xml:space="preserve">
    securityExcelID = "49"
    securityInfoRows[] = </t>
  </si>
  <si>
    <t xml:space="preserve">
    securityExcelID = "50"
    securityInfoRows[] = </t>
  </si>
  <si>
    <t xml:space="preserve">
    securityExcelID = "51"
    securityInfoRows[] = </t>
  </si>
  <si>
    <t xml:space="preserve">
    securityExcelID = "52"
    securityInfoRows[] = </t>
  </si>
  <si>
    <t xml:space="preserve">
    securityExcelID = "53"
    securityInfoRows[] = </t>
  </si>
  <si>
    <t xml:space="preserve">
    securityExcelID = "54"
    securityInfoRows[] = </t>
  </si>
  <si>
    <t xml:space="preserve">
    securityExcelID = "55"
    securityInfoRows[] = </t>
  </si>
  <si>
    <t xml:space="preserve">
    securityExcelID = "56"
    securityInfoRows[] = </t>
  </si>
  <si>
    <t xml:space="preserve">
    securityExcelID = "57"
    securityInfoRows[] = </t>
  </si>
  <si>
    <t xml:space="preserve">
    securityExcelID = "58"
    securityInfoRows[] = </t>
  </si>
  <si>
    <t xml:space="preserve">
    securityExcelID = "59"
    securityInfoRows[] = </t>
  </si>
  <si>
    <t xml:space="preserve">
    securityExcelID = "60"
    securityInfoRows[] = </t>
  </si>
  <si>
    <t xml:space="preserve">
    securityExcelID = "61"
    securityInfoRows[] = </t>
  </si>
  <si>
    <t xml:space="preserve">
    securityExcelID = "62"
    securityInfoRows[] = </t>
  </si>
  <si>
    <t xml:space="preserve">
    securityExcelID = "63"
    securityInfoRows[] = </t>
  </si>
  <si>
    <t xml:space="preserve">
    securityExcelID = "64"
    securityInfoRows[] = </t>
  </si>
  <si>
    <t>Duration</t>
  </si>
  <si>
    <t xml:space="preserve">
    securityExcelID = "65"
    securityInfoRows[] = </t>
  </si>
  <si>
    <t xml:space="preserve">
    securityExcelID = "66"
    securityInfoRows[] = </t>
  </si>
  <si>
    <t xml:space="preserve">
    securityExcelID = "67"
    securityInfoRows[] = </t>
  </si>
  <si>
    <t xml:space="preserve">
    securityExcelID = "68"
    securityInfoRows[] = </t>
  </si>
  <si>
    <t>User Guide Option Premium</t>
  </si>
  <si>
    <t>Purpose</t>
  </si>
  <si>
    <t>This sheet calculates the option cost related to the cap on a variabel or semi-fixed mortgage</t>
  </si>
  <si>
    <t>STEP 1</t>
  </si>
  <si>
    <r>
      <t>Based on the 'signaalrapport', the client rate is calculated: this is the sum of the [</t>
    </r>
    <r>
      <rPr>
        <sz val="11"/>
        <color rgb="FFFF0000"/>
        <rFont val="Calibri"/>
        <family val="2"/>
        <scheme val="minor"/>
      </rPr>
      <t>Tarief nom klant</t>
    </r>
    <r>
      <rPr>
        <sz val="11"/>
        <color theme="1"/>
        <rFont val="Calibri"/>
        <family val="2"/>
        <scheme val="minor"/>
      </rPr>
      <t>] and the [</t>
    </r>
    <r>
      <rPr>
        <sz val="11"/>
        <color rgb="FFFF0000"/>
        <rFont val="Calibri"/>
        <family val="2"/>
        <scheme val="minor"/>
      </rPr>
      <t>consessie</t>
    </r>
    <r>
      <rPr>
        <sz val="11"/>
        <color theme="1"/>
        <rFont val="Calibri"/>
        <family val="2"/>
        <scheme val="minor"/>
      </rPr>
      <t>]</t>
    </r>
  </si>
  <si>
    <t>This sheet needs bloomberg LINKS</t>
  </si>
  <si>
    <t>STEP 2</t>
  </si>
  <si>
    <t>STEP 4</t>
  </si>
  <si>
    <t>Column G displays the premium to be charged to PM for the various formula</t>
  </si>
  <si>
    <t xml:space="preserve">
        totalSecurityNum = 56
        processedSecurityNum = 5
        successSecurityNum = 5
        assetClassesResponse[] = </t>
  </si>
  <si>
    <t xml:space="preserve">
        totalSecurityNum = 56
        processedSecurityNum = 6
        successSecurityNum = 6
        assetClassesResponse[] = </t>
  </si>
  <si>
    <t xml:space="preserve">
        totalSecurityNum = 56
        processedSecurityNum = 7
        successSecurityNum = 7
        assetClassesResponse[] = </t>
  </si>
  <si>
    <t xml:space="preserve">
        totalSecurityNum = 56
        processedSecurityNum = 8
        successSecurityNum = 8
        assetClassesResponse[] = </t>
  </si>
  <si>
    <t xml:space="preserve">
        totalSecurityNum = 56
        processedSecurityNum = 9
        successSecurityNum = 9
        assetClassesResponse[] = </t>
  </si>
  <si>
    <t xml:space="preserve">
        totalSecurityNum = 56
        processedSecurityNum = 10
        successSecurityNum = 10
        assetClassesResponse[] = </t>
  </si>
  <si>
    <t xml:space="preserve">
        totalSecurityNum = 56
        processedSecurityNum = 11
        successSecurityNum = 11
        assetClassesResponse[] = </t>
  </si>
  <si>
    <t xml:space="preserve">
        totalSecurityNum = 56
        processedSecurityNum = 12
        successSecurityNum = 12
        assetClassesResponse[] = </t>
  </si>
  <si>
    <t xml:space="preserve">
        totalSecurityNum = 56
        processedSecurityNum = 14
        successSecurityNum = 14
        assetClassesResponse[] = </t>
  </si>
  <si>
    <t xml:space="preserve">
        totalSecurityNum = 56
        processedSecurityNum = 15
        successSecurityNum = 15
        assetClassesResponse[] = </t>
  </si>
  <si>
    <t xml:space="preserve">
        totalSecurityNum = 56
        processedSecurityNum = 16
        successSecurityNum = 16
        assetClassesResponse[] = </t>
  </si>
  <si>
    <t xml:space="preserve">
        totalSecurityNum = 56
        processedSecurityNum = 17
        successSecurityNum = 17
        assetClassesResponse[] = </t>
  </si>
  <si>
    <t xml:space="preserve">
        totalSecurityNum = 56
        processedSecurityNum = 18
        successSecurityNum = 18
        assetClassesResponse[] = </t>
  </si>
  <si>
    <t xml:space="preserve">
        totalSecurityNum = 56
        processedSecurityNum = 19
        successSecurityNum = 19
        assetClassesResponse[] = </t>
  </si>
  <si>
    <t xml:space="preserve">
        totalSecurityNum = 56
        processedSecurityNum = 20
        successSecurityNum = 20
        assetClassesResponse[] = </t>
  </si>
  <si>
    <t xml:space="preserve">
        totalSecurityNum = 56
        processedSecurityNum = 21
        successSecurityNum = 21
        assetClassesResponse[] = </t>
  </si>
  <si>
    <t xml:space="preserve">
        totalSecurityNum = 56
        processedSecurityNum = 22
        successSecurityNum = 22
        assetClassesResponse[] = </t>
  </si>
  <si>
    <t xml:space="preserve">
        totalSecurityNum = 56
        processedSecurityNum = 23
        successSecurityNum = 23
        assetClassesResponse[] = </t>
  </si>
  <si>
    <t xml:space="preserve">
        totalSecurityNum = 56
        processedSecurityNum = 25
        successSecurityNum = 25
        assetClassesResponse[] = </t>
  </si>
  <si>
    <t xml:space="preserve">
        totalSecurityNum = 56
        processedSecurityNum = 26
        successSecurityNum = 26
        assetClassesResponse[] = </t>
  </si>
  <si>
    <t xml:space="preserve">
        totalSecurityNum = 56
        processedSecurityNum = 27
        successSecurityNum = 27
        assetClassesResponse[] = </t>
  </si>
  <si>
    <t xml:space="preserve">
        totalSecurityNum = 56
        processedSecurityNum = 28
        successSecurityNum = 28
        assetClassesResponse[] = </t>
  </si>
  <si>
    <t xml:space="preserve">
        totalSecurityNum = 56
        processedSecurityNum = 30
        successSecurityNum = 30
        assetClassesResponse[] = </t>
  </si>
  <si>
    <t xml:space="preserve">
        totalSecurityNum = 56
        processedSecurityNum = 31
        successSecurityNum = 31
        assetClassesResponse[] = </t>
  </si>
  <si>
    <t xml:space="preserve">
        totalSecurityNum = 56
        processedSecurityNum = 32
        successSecurityNum = 32
        assetClassesResponse[] = </t>
  </si>
  <si>
    <t xml:space="preserve">
        totalSecurityNum = 56
        processedSecurityNum = 33
        successSecurityNum = 33
        assetClassesResponse[] = </t>
  </si>
  <si>
    <t xml:space="preserve">
        totalSecurityNum = 56
        processedSecurityNum = 34
        successSecurityNum = 34
        assetClassesResponse[] = </t>
  </si>
  <si>
    <t xml:space="preserve">
        totalSecurityNum = 56
        processedSecurityNum = 35
        successSecurityNum = 35
        assetClassesResponse[] = </t>
  </si>
  <si>
    <t xml:space="preserve">
        totalSecurityNum = 56
        processedSecurityNum = 36
        successSecurityNum = 36
        assetClassesResponse[] = </t>
  </si>
  <si>
    <t xml:space="preserve">
        totalSecurityNum = 56
        processedSecurityNum = 37
        successSecurityNum = 37
        assetClassesResponse[] = </t>
  </si>
  <si>
    <t xml:space="preserve">
        totalSecurityNum = 56
        processedSecurityNum = 38
        successSecurityNum = 38
        assetClassesResponse[] = </t>
  </si>
  <si>
    <t xml:space="preserve">
        totalSecurityNum = 56
        processedSecurityNum = 39
        successSecurityNum = 39
        assetClassesResponse[] = </t>
  </si>
  <si>
    <t xml:space="preserve">
        totalSecurityNum = 56
        processedSecurityNum = 40
        successSecurityNum = 40
        assetClassesResponse[] = </t>
  </si>
  <si>
    <t xml:space="preserve">
        totalSecurityNum = 56
        processedSecurityNum = 41
        successSecurityNum = 41
        assetClassesResponse[] = </t>
  </si>
  <si>
    <t xml:space="preserve">
        totalSecurityNum = 56
        processedSecurityNum = 42
        successSecurityNum = 42
        assetClassesResponse[] = </t>
  </si>
  <si>
    <t xml:space="preserve">
        totalSecurityNum = 56
        processedSecurityNum = 43
        successSecurityNum = 43
        assetClassesResponse[] = </t>
  </si>
  <si>
    <t xml:space="preserve">
        totalSecurityNum = 56
        processedSecurityNum = 44
        successSecurityNum = 44
        assetClassesResponse[] = </t>
  </si>
  <si>
    <t xml:space="preserve">
        totalSecurityNum = 56
        processedSecurityNum = 45
        successSecurityNum = 45
        assetClassesResponse[] = </t>
  </si>
  <si>
    <t xml:space="preserve">
        totalSecurityNum = 56
        processedSecurityNum = 46
        successSecurityNum = 46
        assetClassesResponse[] = </t>
  </si>
  <si>
    <t xml:space="preserve">
        totalSecurityNum = 56
        processedSecurityNum = 47
        successSecurityNum = 47
        assetClassesResponse[] = </t>
  </si>
  <si>
    <t xml:space="preserve">
        totalSecurityNum = 56
        processedSecurityNum = 48
        successSecurityNum = 48
        assetClassesResponse[] = </t>
  </si>
  <si>
    <t xml:space="preserve">
        totalSecurityNum = 56
        processedSecurityNum = 49
        successSecurityNum = 49
        assetClassesResponse[] = </t>
  </si>
  <si>
    <t xml:space="preserve">
        totalSecurityNum = 56
        processedSecurityNum = 50
        successSecurityNum = 50
        assetClassesResponse[] = </t>
  </si>
  <si>
    <t xml:space="preserve">
        totalSecurityNum = 56
        processedSecurityNum = 51
        successSecurityNum = 51
        assetClassesResponse[] = </t>
  </si>
  <si>
    <t xml:space="preserve">
        totalSecurityNum = 56
        processedSecurityNum = 52
        successSecurityNum = 52
        assetClassesResponse[] = </t>
  </si>
  <si>
    <t xml:space="preserve">
        totalSecurityNum = 56
        processedSecurityNum = 53
        successSecurityNum = 53
        assetClassesResponse[] = </t>
  </si>
  <si>
    <t xml:space="preserve">
        totalSecurityNum = 56
        processedSecurityNum = 54
        successSecurityNum = 54
        assetClassesResponse[] = </t>
  </si>
  <si>
    <t xml:space="preserve">
        totalSecurityNum = 56
        processedSecurityNum = 55
        successSecurityNum = 55
        assetClassesResponse[] = </t>
  </si>
  <si>
    <t xml:space="preserve">
        totalSecurityNum = 56
        processedSecurityNum = 56
        successSecurityNum = 56
        assetClassesResponse[] = </t>
  </si>
  <si>
    <t>klant nom</t>
  </si>
  <si>
    <t>FTP</t>
  </si>
  <si>
    <t>concessie</t>
  </si>
  <si>
    <t>klant werkelijk</t>
  </si>
  <si>
    <t>Woonkredieten</t>
  </si>
  <si>
    <t>WK 01/1/1 (+3/-3)</t>
  </si>
  <si>
    <t>WK 10/5/5 (+3/-3)</t>
  </si>
  <si>
    <t>WK 10/5/5 (+3/-3) +25 jaar</t>
  </si>
  <si>
    <t>WK 20/5/5 (+3/-3)</t>
  </si>
  <si>
    <t>WK 20/5/5 (+3/-3) +25 jaar</t>
  </si>
  <si>
    <t>WK 10 jaar vast</t>
  </si>
  <si>
    <t>WK 15 jaar vast -13 jaar</t>
  </si>
  <si>
    <t>WK 15 jaar vast</t>
  </si>
  <si>
    <t>WK 20 jaar vast -18 jaar</t>
  </si>
  <si>
    <t>WK 20 jaar vast</t>
  </si>
  <si>
    <t>WK 25 jaar vast</t>
  </si>
  <si>
    <t>WK 30 jaar vast</t>
  </si>
  <si>
    <t>to fill in</t>
  </si>
  <si>
    <t>20j</t>
  </si>
  <si>
    <t>1/1/1</t>
  </si>
  <si>
    <t>5/5/5</t>
  </si>
  <si>
    <t>10j</t>
  </si>
  <si>
    <t>15j</t>
  </si>
  <si>
    <t>25j</t>
  </si>
  <si>
    <t>10/5/5</t>
  </si>
  <si>
    <t>20/5/5</t>
  </si>
  <si>
    <t>IRS6s Hedge</t>
  </si>
  <si>
    <t>Duration (for info only)</t>
  </si>
  <si>
    <t>old notional</t>
  </si>
  <si>
    <t>includes base case CPR CPR</t>
  </si>
  <si>
    <t>Remaining 
notional</t>
  </si>
  <si>
    <t>Notional 
to hedge</t>
  </si>
  <si>
    <t>WK 05/5/5 (+3/-3) -10 jaar</t>
  </si>
  <si>
    <t>WK 05/5/5 (+3/-3) -15 jaar</t>
  </si>
  <si>
    <t>WK 05/5/5 (+3/-3) -20 jaar</t>
  </si>
  <si>
    <t>WK 05/5/5 (+3/-3) -25 jaar</t>
  </si>
  <si>
    <t xml:space="preserve">
        totalSecurityNum = 56
        processedSecurityNum = 13
        successSecurityNum = 13
        assetClassesResponse[] = </t>
  </si>
  <si>
    <t xml:space="preserve">
        totalSecurityNum = 56
        processedSecurityNum = 24
        successSecurityNum = 24
        assetClassesResponse[] = </t>
  </si>
  <si>
    <t xml:space="preserve">
        totalSecurityNum = 56
        processedSecurityNum = 29
        successSecurityNum = 29
        assetClassesResponse[] = </t>
  </si>
  <si>
    <t>Make sure Calcul Hedging rate … file is linked correctly and update the curve on tab BBG Rates</t>
  </si>
  <si>
    <t xml:space="preserve"> 05 jaar vast Immo4pro Private</t>
  </si>
  <si>
    <t xml:space="preserve">
        totalSecurityNum = 0
        processedSecurityNum = 0
        successSecurityNum = 0
        assetClassesResponse[] = </t>
  </si>
  <si>
    <t xml:space="preserve">
        }
        error = </t>
  </si>
  <si>
    <t xml:space="preserve">
        totalSecurityNum = 56
        processedSecurityNum = 4
        successSecurityNum = 4
        assetClassesResponse[] = </t>
  </si>
  <si>
    <t xml:space="preserve">
        totalSecurityNum = 56
        processedSecurityNum = 3
        successSecurityNum = 3
        assetClassesResponse[] = </t>
  </si>
  <si>
    <t xml:space="preserve">
        totalSecurityNum = 56
        processedSecurityNum = 2
        successSecurityNum = 2
        assetClassesResponse[] = </t>
  </si>
  <si>
    <t xml:space="preserve">
                "port12", "ADD", "1", "", "", "", "", "", "", "", "SWAPTION_EUROPEAN", "", "", "", "", "", "", "SWP", "", "", "FIRM", "I", "", "", "", "", "", "EUR", "EUR", "10000000", "10000000", "PAY FIXED", "RECEIVE FLOAT", "10/1/2025", "10/1/2025", "10/1/2030", "10/1/2030", "", "1.62791422488442", "A", "", "A", "", "", "", "", "", "S", "", "S", "", "", "", "", "", "", "", "", "", "", "", "", "", "", "", "", "", "", "", "", "", "", "", "", "LONG PAYER", "", "", "", "", "", "", "", "", "", "", "", "", "", "", "", "", "", "", "", "", "", "", "", "", "", "", "", "", "", "", "", "", "", "", "", "", "", "", "", "", "", "", "", "", "", "", "", "", "", "", ""
            }
        }
    }
}
</t>
  </si>
  <si>
    <t xml:space="preserve">
                "port12", "ADD", "1", "", "", "", "", "", "", "", "SWAPTION_EUROPEAN", "", "", "", "", "", "", "SWP", "", "", "FIRM", "I", "", "", "", "", "", "EUR", "EUR", "10000000", "10000000", "PAY FIXED", "RECEIVE FLOAT", "10/1/2030", "10/1/2030", "10/1/2035", "10/1/2035", "", "1.62791422488442", "A", "", "A", "", "", "", "", "", "S", "", "S", "", "", "", "", "", "", "", "", "", "", "", "", "", "", "", "", "", "", "", "", "", "", "", "", "LONG PAYER", "", "", "", "", "", "", "", "", "", "", "", "", "", "", "", "", "", "", "", "", "", "", "", "", "", "", "", "", "", "", "", "", "", "", "", "", "", "", "", "", "", "", "", "", "", "", "", "", "", "", ""
            }
        }
    }
}
</t>
  </si>
  <si>
    <t xml:space="preserve">
                "port12", "ADD", "1", "", "", "", "", "", "", "", "SWAPTION_EUROPEAN", "", "", "", "", "", "", "SWP", "", "", "FIRM", "I", "", "", "", "", "", "EUR", "EUR", "10000000", "10000000", "PAY FIXED", "RECEIVE FLOAT", "10/1/2035", "10/1/2035", "10/1/2040", "10/1/2040", "", "1.62791422488442", "A", "", "A", "", "", "", "", "", "S", "", "S", "", "", "", "", "", "", "", "", "", "", "", "", "", "", "", "", "", "", "", "", "", "", "", "", "LONG PAYER", "", "", "", "", "", "", "", "", "", "", "", "", "", "", "", "", "", "", "", "", "", "", "", "", "", "", "", "", "", "", "", "", "", "", "", "", "", "", "", "", "", "", "", "", "", "", "", "", "", "", ""
            }
        }
    }
}
</t>
  </si>
  <si>
    <t xml:space="preserve">
                "port12", "ADD", "1", "", "", "", "", "", "", "", "SWAPTION_EUROPEAN", "", "", "", "", "", "", "SWP", "", "", "FIRM", "I", "", "", "", "", "", "EUR", "EUR", "10000000", "10000000", "PAY FIXED", "RECEIVE FLOAT", "10/1/2040", "10/1/2040", "10/2/2045", "10/2/2045", "", "1.62791422488442", "A", "", "A", "", "", "", "", "", "S", "", "S", "", "", "", "", "", "", "", "", "", "", "", "", "", "", "", "", "", "", "", "", "", "", "", "", "LONG PAYER", "", "", "", "", "", "", "", "", "", "", "", "", "", "", "", "", "", "", "", "", "", "", "", "", "", "", "", "", "", "", "", "", "", "", "", "", "", "", "", "", "", "", "", "", "", "", "", "", "", "", ""
            }
        }
    }
}
</t>
  </si>
  <si>
    <t xml:space="preserve">
                "port12", "ADD", "1", "", "", "", "", "", "", "", "SWAPTION_EUROPEAN", "", "", "", "", "", "", "SWP", "", "", "FIRM", "I", "", "", "", "", "", "EUR", "EUR", "10000000", "10000000", "PAY FIXED", "RECEIVE FLOAT", "10/1/2025", "10/1/2025", "10/1/2030", "10/1/2030", "", "0.661338487094927", "A", "", "A", "", "", "", "", "", "S", "", "S", "", "", "", "", "", "", "", "", "", "", "", "", "", "", "", "", "", "", "", "", "", "", "", "", "LONG PAYER", "", "", "", "", "", "", "", "", "", "", "", "", "", "", "", "", "", "", "", "", "", "", "", "", "", "", "", "", "", "", "", "", "", "", "", "", "", "", "", "", "", "", "", "", "", "", "", "", "", "", ""
            }
        }
    }
}
</t>
  </si>
  <si>
    <t xml:space="preserve">
                "port12", "ADD", "1", "", "", "", "", "", "", "", "SWAPTION_EUROPEAN", "", "", "", "", "", "", "SWP", "", "", "FIRM", "I", "", "", "", "", "", "EUR", "EUR", "10000000", "10000000", "PAY FIXED", "RECEIVE FLOAT", "10/1/2030", "10/1/2030", "10/1/2035", "10/1/2035", "", "0.661338487094927", "A", "", "A", "", "", "", "", "", "S", "", "S", "", "", "", "", "", "", "", "", "", "", "", "", "", "", "", "", "", "", "", "", "", "", "", "", "LONG PAYER", "", "", "", "", "", "", "", "", "", "", "", "", "", "", "", "", "", "", "", "", "", "", "", "", "", "", "", "", "", "", "", "", "", "", "", "", "", "", "", "", "", "", "", "", "", "", "", "", "", "", ""
            }
        }
    }
}
</t>
  </si>
  <si>
    <t xml:space="preserve">
                "port12", "ADD", "1", "", "", "", "", "", "", "", "SWAPTION_EUROPEAN", "", "", "", "", "", "", "SWP", "", "", "FIRM", "I", "", "", "", "", "", "EUR", "EUR", "10000000", "10000000", "PAY FIXED", "RECEIVE FLOAT", "10/1/2035", "10/1/2035", "10/1/2040", "10/1/2040", "", "0.661338487094927", "A", "", "A", "", "", "", "", "", "S", "", "S", "", "", "", "", "", "", "", "", "", "", "", "", "", "", "", "", "", "", "", "", "", "", "", "", "LONG PAYER", "", "", "", "", "", "", "", "", "", "", "", "", "", "", "", "", "", "", "", "", "", "", "", "", "", "", "", "", "", "", "", "", "", "", "", "", "", "", "", "", "", "", "", "", "", "", "", "", "", "", ""
            }
        }
    }
}
</t>
  </si>
  <si>
    <t xml:space="preserve">
                "port12", "ADD", "1", "", "", "", "", "", "", "", "SWAPTION_EUROPEAN", "", "", "", "", "", "", "SWP", "", "", "FIRM", "I", "", "", "", "", "", "EUR", "EUR", "10000000", "10000000", "PAY FIXED", "RECEIVE FLOAT", "10/1/2025", "10/1/2025", "10/1/2030", "10/1/2030", "", "0.570165700486393", "A", "", "A", "", "", "", "", "", "S", "", "S", "", "", "", "", "", "", "", "", "", "", "", "", "", "", "", "", "", "", "", "", "", "", "", "", "LONG PAYER", "", "", "", "", "", "", "", "", "", "", "", "", "", "", "", "", "", "", "", "", "", "", "", "", "", "", "", "", "", "", "", "", "", "", "", "", "", "", "", "", "", "", "", "", "", "", "", "", "", "", ""
            }
        }
    }
}
</t>
  </si>
  <si>
    <t xml:space="preserve">
                "port12", "ADD", "1", "", "", "", "", "", "", "", "SWAPTION_EUROPEAN", "", "", "", "", "", "", "SWP", "", "", "FIRM", "I", "", "", "", "", "", "EUR", "EUR", "10000000", "10000000", "PAY FIXED", "RECEIVE FLOAT", "10/1/2030", "10/1/2030", "10/1/2035", "10/1/2035", "", "0.570165700486393", "A", "", "A", "", "", "", "", "", "S", "", "S", "", "", "", "", "", "", "", "", "", "", "", "", "", "", "", "", "", "", "", "", "", "", "", "", "LONG PAYER", "", "", "", "", "", "", "", "", "", "", "", "", "", "", "", "", "", "", "", "", "", "", "", "", "", "", "", "", "", "", "", "", "", "", "", "", "", "", "", "", "", "", "", "", "", "", "", "", "", "", ""
            }
        }
    }
}
</t>
  </si>
  <si>
    <t xml:space="preserve">
                "port12", "ADD", "1", "", "", "", "", "", "", "", "SWAPTION_EUROPEAN", "", "", "", "", "", "", "SWP", "", "", "FIRM", "I", "", "", "", "", "", "EUR", "EUR", "10000000", "10000000", "PAY FIXED", "RECEIVE FLOAT", "10/1/2025", "10/1/2025", "10/1/2030", "10/1/2030", "", "0.199068482995048", "A", "", "A", "", "", "", "", "", "S", "", "S", "", "", "", "", "", "", "", "", "", "", "", "", "", "", "", "", "", "", "", "", "", "", "", "", "LONG PAYER", "", "", "", "", "", "", "", "", "", "", "", "", "", "", "", "", "", "", "", "", "", "", "", "", "", "", "", "", "", "", "", "", "", "", "", "", "", "", "", "", "", "", "", "", "", "", "", "", "", "", ""
            }
        }
    }
}
</t>
  </si>
  <si>
    <t xml:space="preserve">
                "port12", "ADD", "1", "", "", "", "", "", "", "", "SWAPTION_EUROPEAN", "", "", "", "", "", "", "SWP", "", "", "FIRM", "I", "", "", "", "", "", "EUR", "EUR", "10000000", "10000000", "PAY FIXED", "RECEIVE FLOAT", "10/1/2021", "10/1/2021", "10/3/2022", "10/3/2022", "", "0.803", "A", "", "A", "", "", "", "", "", "S", "", "S", "", "", "", "", "", "", "", "", "", "", "", "", "", "", "", "", "", "", "", "", "", "", "", "", "LONG PAYER", "", "", "", "", "", "", "", "", "", "", "", "", "", "", "", "", "", "", "", "", "", "", "", "", "", "", "", "", "", "", "", "", "", "", "", "", "", "", "", "", "", "", "", "", "", "", "", "", "", "", ""
            }
        }
    }
}
</t>
  </si>
  <si>
    <t xml:space="preserve">
                "port12", "ADD", "1", "", "", "", "", "", "", "", "SWAPTION_EUROPEAN", "", "", "", "", "", "", "SWP", "", "", "FIRM", "I", "", "", "", "", "", "EUR", "EUR", "10000000", "10000000", "PAY FIXED", "RECEIVE FLOAT", "10/3/2022", "10/3/2022", "10/3/2023", "10/3/2023", "", "0.803", "A", "", "A", "", "", "", "", "", "S", "", "S", "", "", "", "", "", "", "", "", "", "", "", "", "", "", "", "", "", "", "", "", "", "", "", "", "LONG PAYER", "", "", "", "", "", "", "", "", "", "", "", "", "", "", "", "", "", "", "", "", "", "", "", "", "", "", "", "", "", "", "", "", "", "", "", "", "", "", "", "", "", "", "", "", "", "", "", "", "", "", ""
            }
        }
    }
}
</t>
  </si>
  <si>
    <t xml:space="preserve">
                "port12", "ADD", "1", "", "", "", "", "", "", "", "SWAPTION_EUROPEAN", "", "", "", "", "", "", "SWP", "", "", "FIRM", "I", "", "", "", "", "", "EUR", "EUR", "10000000", "10000000", "PAY FIXED", "RECEIVE FLOAT", "10/2/2023", "10/2/2023", "10/2/2024", "10/2/2024", "", "0.803", "A", "", "A", "", "", "", "", "", "S", "", "S", "", "", "", "", "", "", "", "", "", "", "", "", "", "", "", "", "", "", "", "", "", "", "", "", "LONG PAYER", "", "", "", "", "", "", "", "", "", "", "", "", "", "", "", "", "", "", "", "", "", "", "", "", "", "", "", "", "", "", "", "", "", "", "", "", "", "", "", "", "", "", "", "", "", "", "", "", "", "", ""
            }
        }
    }
}
</t>
  </si>
  <si>
    <t xml:space="preserve">
                "port12", "ADD", "1", "", "", "", "", "", "", "", "SWAPTION_EUROPEAN", "", "", "", "", "", "", "SWP", "", "", "FIRM", "I", "", "", "", "", "", "EUR", "EUR", "10000000", "10000000", "PAY FIXED", "RECEIVE FLOAT", "10/1/2024", "10/1/2024", "10/1/2025", "10/1/2025", "", "0.803", "A", "", "A", "", "", "", "", "", "S", "", "S", "", "", "", "", "", "", "", "", "", "", "", "", "", "", "", "", "", "", "", "", "", "", "", "", "LONG PAYER", "", "", "", "", "", "", "", "", "", "", "", "", "", "", "", "", "", "", "", "", "", "", "", "", "", "", "", "", "", "", "", "", "", "", "", "", "", "", "", "", "", "", "", "", "", "", "", "", "", "", ""
            }
        }
    }
}
</t>
  </si>
  <si>
    <t xml:space="preserve">
                "port12", "ADD", "1", "", "", "", "", "", "", "", "SWAPTION_EUROPEAN", "", "", "", "", "", "", "SWP", "", "", "FIRM", "I", "", "", "", "", "", "EUR", "EUR", "10000000", "10000000", "PAY FIXED", "RECEIVE FLOAT", "10/1/2025", "10/1/2025", "10/1/2026", "10/1/2026", "", "0.803", "A", "", "A", "", "", "", "", "", "S", "", "S", "", "", "", "", "", "", "", "", "", "", "", "", "", "", "", "", "", "", "", "", "", "", "", "", "LONG PAYER", "", "", "", "", "", "", "", "", "", "", "", "", "", "", "", "", "", "", "", "", "", "", "", "", "", "", "", "", "", "", "", "", "", "", "", "", "", "", "", "", "", "", "", "", "", "", "", "", "", "", ""
            }
        }
    }
}
</t>
  </si>
  <si>
    <t xml:space="preserve">
                "port12", "ADD", "1", "", "", "", "", "", "", "", "SWAPTION_EUROPEAN", "", "", "", "", "", "", "SWP", "", "", "FIRM", "I", "", "", "", "", "", "EUR", "EUR", "10000000", "10000000", "PAY FIXED", "RECEIVE FLOAT", "10/1/2026", "10/1/2026", "10/1/2027", "10/1/2027", "", "0.803", "A", "", "A", "", "", "", "", "", "S", "", "S", "", "", "", "", "", "", "", "", "", "", "", "", "", "", "", "", "", "", "", "", "", "", "", "", "LONG PAYER", "", "", "", "", "", "", "", "", "", "", "", "", "", "", "", "", "", "", "", "", "", "", "", "", "", "", "", "", "", "", "", "", "", "", "", "", "", "", "", "", "", "", "", "", "", "", "", "", "", "", ""
            }
        }
    }
}
</t>
  </si>
  <si>
    <t xml:space="preserve">
                "port12", "ADD", "1", "", "", "", "", "", "", "", "SWAPTION_EUROPEAN", "", "", "", "", "", "", "SWP", "", "", "FIRM", "I", "", "", "", "", "", "EUR", "EUR", "10000000", "10000000", "PAY FIXED", "RECEIVE FLOAT", "10/1/2027", "10/1/2027", "10/2/2028", "10/2/2028", "", "0.803", "A", "", "A", "", "", "", "", "", "S", "", "S", "", "", "", "", "", "", "", "", "", "", "", "", "", "", "", "", "", "", "", "", "", "", "", "", "LONG PAYER", "", "", "", "", "", "", "", "", "", "", "", "", "", "", "", "", "", "", "", "", "", "", "", "", "", "", "", "", "", "", "", "", "", "", "", "", "", "", "", "", "", "", "", "", "", "", "", "", "", "", ""
            }
        }
    }
}
</t>
  </si>
  <si>
    <t xml:space="preserve">
                "port12", "ADD", "1", "", "", "", "", "", "", "", "SWAPTION_EUROPEAN", "", "", "", "", "", "", "SWP", "", "", "FIRM", "I", "", "", "", "", "", "EUR", "EUR", "10000000", "10000000", "PAY FIXED", "RECEIVE FLOAT", "10/2/2028", "10/2/2028", "10/2/2029", "10/2/2029", "", "0.803", "A", "", "A", "", "", "", "", "", "S", "", "S", "", "", "", "", "", "", "", "", "", "", "", "", "", "", "", "", "", "", "", "", "", "", "", "", "LONG PAYER", "", "", "", "", "", "", "", "", "", "", "", "", "", "", "", "", "", "", "", "", "", "", "", "", "", "", "", "", "", "", "", "", "", "", "", "", "", "", "", "", "", "", "", "", "", "", "", "", "", "", ""
            }
        }
    }
}
</t>
  </si>
  <si>
    <t xml:space="preserve">
                "port12", "ADD", "1", "", "", "", "", "", "", "", "SWAPTION_EUROPEAN", "", "", "", "", "", "", "SWP", "", "", "FIRM", "I", "", "", "", "", "", "EUR", "EUR", "10000000", "10000000", "PAY FIXED", "RECEIVE FLOAT", "10/1/2029", "10/1/2029", "10/1/2030", "10/1/2030", "", "0.803", "A", "", "A", "", "", "", "", "", "S", "", "S", "", "", "", "", "", "", "", "", "", "", "", "", "", "", "", "", "", "", "", "", "", "", "", "", "LONG PAYER", "", "", "", "", "", "", "", "", "", "", "", "", "", "", "", "", "", "", "", "", "", "", "", "", "", "", "", "", "", "", "", "", "", "", "", "", "", "", "", "", "", "", "", "", "", "", "", "", "", "", ""
            }
        }
    }
}
</t>
  </si>
  <si>
    <t xml:space="preserve">
                "port12", "ADD", "1", "", "", "", "", "", "", "", "SWAPTION_EUROPEAN", "", "", "", "", "", "", "SWP", "", "", "FIRM", "I", "", "", "", "", "", "EUR", "EUR", "10000000", "10000000", "PAY FIXED", "RECEIVE FLOAT", "10/1/2030", "10/1/2030", "10/1/2031", "10/1/2031", "", "0.803", "A", "", "A", "", "", "", "", "", "S", "", "S", "", "", "", "", "", "", "", "", "", "", "", "", "", "", "", "", "", "", "", "", "", "", "", "", "LONG PAYER", "", "", "", "", "", "", "", "", "", "", "", "", "", "", "", "", "", "", "", "", "", "", "", "", "", "", "", "", "", "", "", "", "", "", "", "", "", "", "", "", "", "", "", "", "", "", "", "", "", "", ""
            }
        }
    }
}
</t>
  </si>
  <si>
    <t xml:space="preserve">
                "port12", "ADD", "1", "", "", "", "", "", "", "", "SWAPTION_EUROPEAN", "", "", "", "", "", "", "SWP", "", "", "FIRM", "I", "", "", "", "", "", "EUR", "EUR", "10000000", "10000000", "PAY FIXED", "RECEIVE FLOAT", "10/1/2031", "10/1/2031", "10/1/2032", "10/1/2032", "", "0.803", "A", "", "A", "", "", "", "", "", "S", "", "S", "", "", "", "", "", "", "", "", "", "", "", "", "", "", "", "", "", "", "", "", "", "", "", "", "LONG PAYER", "", "", "", "", "", "", "", "", "", "", "", "", "", "", "", "", "", "", "", "", "", "", "", "", "", "", "", "", "", "", "", "", "", "", "", "", "", "", "", "", "", "", "", "", "", "", "", "", "", "", ""
            }
        }
    }
}
</t>
  </si>
  <si>
    <t xml:space="preserve">
                "port12", "ADD", "1", "", "", "", "", "", "", "", "SWAPTION_EUROPEAN", "", "", "", "", "", "", "SWP", "", "", "FIRM", "I", "", "", "", "", "", "EUR", "EUR", "10000000", "10000000", "PAY FIXED", "RECEIVE FLOAT", "10/1/2032", "10/1/2032", "10/3/2033", "10/3/2033", "", "0.803", "A", "", "A", "", "", "", "", "", "S", "", "S", "", "", "", "", "", "", "", "", "", "", "", "", "", "", "", "", "", "", "", "", "", "", "", "", "LONG PAYER", "", "", "", "", "", "", "", "", "", "", "", "", "", "", "", "", "", "", "", "", "", "", "", "", "", "", "", "", "", "", "", "", "", "", "", "", "", "", "", "", "", "", "", "", "", "", "", "", "", "", ""
            }
        }
    }
}
</t>
  </si>
  <si>
    <t xml:space="preserve">
                "port12", "ADD", "1", "", "", "", "", "", "", "", "SWAPTION_EUROPEAN", "", "", "", "", "", "", "SWP", "", "", "FIRM", "I", "", "", "", "", "", "EUR", "EUR", "10000000", "10000000", "PAY FIXED", "RECEIVE FLOAT", "10/3/2033", "10/3/2033", "10/3/2034", "10/3/2034", "", "0.803", "A", "", "A", "", "", "", "", "", "S", "", "S", "", "", "", "", "", "", "", "", "", "", "", "", "", "", "", "", "", "", "", "", "", "", "", "", "LONG PAYER", "", "", "", "", "", "", "", "", "", "", "", "", "", "", "", "", "", "", "", "", "", "", "", "", "", "", "", "", "", "", "", "", "", "", "", "", "", "", "", "", "", "", "", "", "", "", "", "", "", "", ""
            }
        }
    }
}
</t>
  </si>
  <si>
    <t xml:space="preserve">
                "port12", "ADD", "1", "", "", "", "", "", "", "", "SWAPTION_EUROPEAN", "", "", "", "", "", "", "SWP", "", "", "FIRM", "I", "", "", "", "", "", "EUR", "EUR", "10000000", "10000000", "PAY FIXED", "RECEIVE FLOAT", "10/2/2034", "10/2/2034", "10/2/2035", "10/2/2035", "", "0.803", "A", "", "A", "", "", "", "", "", "S", "", "S", "", "", "", "", "", "", "", "", "", "", "", "", "", "", "", "", "", "", "", "", "", "", "", "", "LONG PAYER", "", "", "", "", "", "", "", "", "", "", "", "", "", "", "", "", "", "", "", "", "", "", "", "", "", "", "", "", "", "", "", "", "", "", "", "", "", "", "", "", "", "", "", "", "", "", "", "", "", "", ""
            }
        }
    }
}
</t>
  </si>
  <si>
    <t xml:space="preserve">
                "port12", "ADD", "1", "", "", "", "", "", "", "", "SWAPTION_EUROPEAN", "", "", "", "", "", "", "SWP", "", "", "FIRM", "I", "", "", "", "", "", "EUR", "EUR", "10000000", "10000000", "PAY FIXED", "RECEIVE FLOAT", "10/1/2035", "10/1/2035", "10/1/2036", "10/1/2036", "", "0.803", "A", "", "A", "", "", "", "", "", "S", "", "S", "", "", "", "", "", "", "", "", "", "", "", "", "", "", "", "", "", "", "", "", "", "", "", "", "LONG PAYER", "", "", "", "", "", "", "", "", "", "", "", "", "", "", "", "", "", "", "", "", "", "", "", "", "", "", "", "", "", "", "", "", "", "", "", "", "", "", "", "", "", "", "", "", "", "", "", "", "", "", ""
            }
        }
    }
}
</t>
  </si>
  <si>
    <t xml:space="preserve">
                "port12", "ADD", "1", "", "", "", "", "", "", "", "SWAPTION_EUROPEAN", "", "", "", "", "", "", "SWP", "", "", "FIRM", "I", "", "", "", "", "", "EUR", "EUR", "10000000", "10000000", "PAY FIXED", "RECEIVE FLOAT", "10/1/2036", "10/1/2036", "10/1/2037", "10/1/2037", "", "0.803", "A", "", "A", "", "", "", "", "", "S", "", "S", "", "", "", "", "", "", "", "", "", "", "", "", "", "", "", "", "", "", "", "", "", "", "", "", "LONG PAYER", "", "", "", "", "", "", "", "", "", "", "", "", "", "", "", "", "", "", "", "", "", "", "", "", "", "", "", "", "", "", "", "", "", "", "", "", "", "", "", "", "", "", "", "", "", "", "", "", "", "", ""
            }
        }
    }
}
</t>
  </si>
  <si>
    <t xml:space="preserve">
                "port12", "ADD", "1", "", "", "", "", "", "", "", "SWAPTION_EUROPEAN", "", "", "", "", "", "", "SWP", "", "", "FIRM", "I", "", "", "", "", "", "EUR", "EUR", "10000000", "10000000", "PAY FIXED", "RECEIVE FLOAT", "10/1/2037", "10/1/2037", "10/1/2038", "10/1/2038", "", "0.803", "A", "", "A", "", "", "", "", "", "S", "", "S", "", "", "", "", "", "", "", "", "", "", "", "", "", "", "", "", "", "", "", "", "", "", "", "", "LONG PAYER", "", "", "", "", "", "", "", "", "", "", "", "", "", "", "", "", "", "", "", "", "", "", "", "", "", "", "", "", "", "", "", "", "", "", "", "", "", "", "", "", "", "", "", "", "", "", "", "", "", "", ""
            }
        }
    }
}
</t>
  </si>
  <si>
    <t xml:space="preserve">
                "port12", "ADD", "1", "", "", "", "", "", "", "", "SWAPTION_EUROPEAN", "", "", "", "", "", "", "SWP", "", "", "FIRM", "I", "", "", "", "", "", "EUR", "EUR", "10000000", "10000000", "PAY FIXED", "RECEIVE FLOAT", "10/1/2038", "10/1/2038", "10/3/2039", "10/3/2039", "", "0.803", "A", "", "A", "", "", "", "", "", "S", "", "S", "", "", "", "", "", "", "", "", "", "", "", "", "", "", "", "", "", "", "", "", "", "", "", "", "LONG PAYER", "", "", "", "", "", "", "", "", "", "", "", "", "", "", "", "", "", "", "", "", "", "", "", "", "", "", "", "", "", "", "", "", "", "", "", "", "", "", "", "", "", "", "", "", "", "", "", "", "", "", ""
            }
        }
    }
}
</t>
  </si>
  <si>
    <t xml:space="preserve">
                "port12", "ADD", "1", "", "", "", "", "", "", "", "SWAPTION_EUROPEAN", "", "", "", "", "", "", "SWP", "", "", "FIRM", "I", "", "", "", "", "", "EUR", "EUR", "10000000", "10000000", "PAY FIXED", "RECEIVE FLOAT", "10/3/2039", "10/3/2039", "10/3/2040", "10/3/2040", "", "0.803", "A", "", "A", "", "", "", "", "", "S", "", "S", "", "", "", "", "", "", "", "", "", "", "", "", "", "", "", "", "", "", "", "", "", "", "", "", "LONG PAYER", "", "", "", "", "", "", "", "", "", "", "", "", "", "", "", "", "", "", "", "", "", "", "", "", "", "", "", "", "", "", "", "", "", "", "", "", "", "", "", "", "", "", "", "", "", "", "", "", "", "", ""
            }
        }
    }
}
</t>
  </si>
  <si>
    <t xml:space="preserve">
                "port12", "ADD", "1", "", "", "", "", "", "", "", "SWAPTION_EUROPEAN", "", "", "", "", "", "", "SWP", "", "", "FIRM", "I", "", "", "", "", "", "EUR", "EUR", "10000000", "10000000", "PAY FIXED", "RECEIVE FLOAT", "10/1/2021", "10/1/2021", "10/3/2022", "10/3/2022", "", "1.10190025408897", "A", "", "A", "", "", "", "", "", "S", "", "S", "", "", "", "", "", "", "", "", "", "", "", "", "", "", "", "", "", "", "", "", "", "", "", "", "LONG PAYER", "", "", "", "", "", "", "", "", "", "", "", "", "", "", "", "", "", "", "", "", "", "", "", "", "", "", "", "", "", "", "", "", "", "", "", "", "", "", "", "", "", "", "", "", "", "", "", "", "", "", ""
            }
        }
    }
}
</t>
  </si>
  <si>
    <t xml:space="preserve">
                "port12", "ADD", "1", "", "", "", "", "", "", "", "SWAPTION_EUROPEAN", "", "", "", "", "", "", "SWP", "", "", "FIRM", "I", "", "", "", "", "", "EUR", "EUR", "10000000", "10000000", "PAY FIXED", "RECEIVE FLOAT", "10/3/2022", "10/3/2022", "10/3/2023", "10/3/2023", "", "1.10190025408897", "A", "", "A", "", "", "", "", "", "S", "", "S", "", "", "", "", "", "", "", "", "", "", "", "", "", "", "", "", "", "", "", "", "", "", "", "", "LONG PAYER", "", "", "", "", "", "", "", "", "", "", "", "", "", "", "", "", "", "", "", "", "", "", "", "", "", "", "", "", "", "", "", "", "", "", "", "", "", "", "", "", "", "", "", "", "", "", "", "", "", "", ""
            }
        }
    }
}
</t>
  </si>
  <si>
    <t xml:space="preserve">
                "port12", "ADD", "1", "", "", "", "", "", "", "", "SWAPTION_EUROPEAN", "", "", "", "", "", "", "SWP", "", "", "FIRM", "I", "", "", "", "", "", "EUR", "EUR", "10000000", "10000000", "PAY FIXED", "RECEIVE FLOAT", "10/2/2023", "10/2/2023", "10/2/2024", "10/2/2024", "", "1.10190025408897", "A", "", "A", "", "", "", "", "", "S", "", "S", "", "", "", "", "", "", "", "", "", "", "", "", "", "", "", "", "", "", "", "", "", "", "", "", "LONG PAYER", "", "", "", "", "", "", "", "", "", "", "", "", "", "", "", "", "", "", "", "", "", "", "", "", "", "", "", "", "", "", "", "", "", "", "", "", "", "", "", "", "", "", "", "", "", "", "", "", "", "", ""
            }
        }
    }
}
</t>
  </si>
  <si>
    <t xml:space="preserve">
                "port12", "ADD", "1", "", "", "", "", "", "", "", "SWAPTION_EUROPEAN", "", "", "", "", "", "", "SWP", "", "", "FIRM", "I", "", "", "", "", "", "EUR", "EUR", "10000000", "10000000", "PAY FIXED", "RECEIVE FLOAT", "10/1/2024", "10/1/2024", "10/1/2025", "10/1/2025", "", "1.10190025408897", "A", "", "A", "", "", "", "", "", "S", "", "S", "", "", "", "", "", "", "", "", "", "", "", "", "", "", "", "", "", "", "", "", "", "", "", "", "LONG PAYER", "", "", "", "", "", "", "", "", "", "", "", "", "", "", "", "", "", "", "", "", "", "", "", "", "", "", "", "", "", "", "", "", "", "", "", "", "", "", "", "", "", "", "", "", "", "", "", "", "", "", ""
            }
        }
    }
}
</t>
  </si>
  <si>
    <t xml:space="preserve">
                "port12", "ADD", "1", "", "", "", "", "", "", "", "SWAPTION_EUROPEAN", "", "", "", "", "", "", "SWP", "", "", "FIRM", "I", "", "", "", "", "", "EUR", "EUR", "10000000", "10000000", "PAY FIXED", "RECEIVE FLOAT", "10/1/2025", "10/1/2025", "10/1/2026", "10/1/2026", "", "1.10190025408897", "A", "", "A", "", "", "", "", "", "S", "", "S", "", "", "", "", "", "", "", "", "", "", "", "", "", "", "", "", "", "", "", "", "", "", "", "", "LONG PAYER", "", "", "", "", "", "", "", "", "", "", "", "", "", "", "", "", "", "", "", "", "", "", "", "", "", "", "", "", "", "", "", "", "", "", "", "", "", "", "", "", "", "", "", "", "", "", "", "", "", "", ""
            }
        }
    }
}
</t>
  </si>
  <si>
    <t xml:space="preserve">
                "port12", "ADD", "1", "", "", "", "", "", "", "", "SWAPTION_EUROPEAN", "", "", "", "", "", "", "SWP", "", "", "FIRM", "I", "", "", "", "", "", "EUR", "EUR", "10000000", "10000000", "PAY FIXED", "RECEIVE FLOAT", "10/1/2026", "10/1/2026", "10/1/2027", "10/1/2027", "", "1.10190025408897", "A", "", "A", "", "", "", "", "", "S", "", "S", "", "", "", "", "", "", "", "", "", "", "", "", "", "", "", "", "", "", "", "", "", "", "", "", "LONG PAYER", "", "", "", "", "", "", "", "", "", "", "", "", "", "", "", "", "", "", "", "", "", "", "", "", "", "", "", "", "", "", "", "", "", "", "", "", "", "", "", "", "", "", "", "", "", "", "", "", "", "", ""
            }
        }
    }
}
</t>
  </si>
  <si>
    <t xml:space="preserve">
                "port12", "ADD", "1", "", "", "", "", "", "", "", "SWAPTION_EUROPEAN", "", "", "", "", "", "", "SWP", "", "", "FIRM", "I", "", "", "", "", "", "EUR", "EUR", "10000000", "10000000", "PAY FIXED", "RECEIVE FLOAT", "10/1/2027", "10/1/2027", "10/2/2028", "10/2/2028", "", "1.10190025408897", "A", "", "A", "", "", "", "", "", "S", "", "S", "", "", "", "", "", "", "", "", "", "", "", "", "", "", "", "", "", "", "", "", "", "", "", "", "LONG PAYER", "", "", "", "", "", "", "", "", "", "", "", "", "", "", "", "", "", "", "", "", "", "", "", "", "", "", "", "", "", "", "", "", "", "", "", "", "", "", "", "", "", "", "", "", "", "", "", "", "", "", ""
            }
        }
    }
}
</t>
  </si>
  <si>
    <t xml:space="preserve">
                "port12", "ADD", "1", "", "", "", "", "", "", "", "SWAPTION_EUROPEAN", "", "", "", "", "", "", "SWP", "", "", "FIRM", "I", "", "", "", "", "", "EUR", "EUR", "10000000", "10000000", "PAY FIXED", "RECEIVE FLOAT", "10/2/2028", "10/2/2028", "10/2/2029", "10/2/2029", "", "1.10190025408897", "A", "", "A", "", "", "", "", "", "S", "", "S", "", "", "", "", "", "", "", "", "", "", "", "", "", "", "", "", "", "", "", "", "", "", "", "", "LONG PAYER", "", "", "", "", "", "", "", "", "", "", "", "", "", "", "", "", "", "", "", "", "", "", "", "", "", "", "", "", "", "", "", "", "", "", "", "", "", "", "", "", "", "", "", "", "", "", "", "", "", "", ""
            }
        }
    }
}
</t>
  </si>
  <si>
    <t xml:space="preserve">
                "port12", "ADD", "1", "", "", "", "", "", "", "", "SWAPTION_EUROPEAN", "", "", "", "", "", "", "SWP", "", "", "FIRM", "I", "", "", "", "", "", "EUR", "EUR", "10000000", "10000000", "PAY FIXED", "RECEIVE FLOAT", "10/1/2029", "10/1/2029", "10/1/2030", "10/1/2030", "", "1.10190025408897", "A", "", "A", "", "", "", "", "", "S", "", "S", "", "", "", "", "", "", "", "", "", "", "", "", "", "", "", "", "", "", "", "", "", "", "", "", "LONG PAYER", "", "", "", "", "", "", "", "", "", "", "", "", "", "", "", "", "", "", "", "", "", "", "", "", "", "", "", "", "", "", "", "", "", "", "", "", "", "", "", "", "", "", "", "", "", "", "", "", "", "", ""
            }
        }
    }
}
</t>
  </si>
  <si>
    <t xml:space="preserve">
                "port12", "ADD", "1", "", "", "", "", "", "", "", "SWAPTION_EUROPEAN", "", "", "", "", "", "", "SWP", "", "", "FIRM", "I", "", "", "", "", "", "EUR", "EUR", "10000000", "10000000", "PAY FIXED", "RECEIVE FLOAT", "10/1/2030", "10/1/2030", "10/1/2031", "10/1/2031", "", "1.10190025408897", "A", "", "A", "", "", "", "", "", "S", "", "S", "", "", "", "", "", "", "", "", "", "", "", "", "", "", "", "", "", "", "", "", "", "", "", "", "LONG PAYER", "", "", "", "", "", "", "", "", "", "", "", "", "", "", "", "", "", "", "", "", "", "", "", "", "", "", "", "", "", "", "", "", "", "", "", "", "", "", "", "", "", "", "", "", "", "", "", "", "", "", ""
            }
        }
    }
}
</t>
  </si>
  <si>
    <t xml:space="preserve">
                "port12", "ADD", "1", "", "", "", "", "", "", "", "SWAPTION_EUROPEAN", "", "", "", "", "", "", "SWP", "", "", "FIRM", "I", "", "", "", "", "", "EUR", "EUR", "10000000", "10000000", "PAY FIXED", "RECEIVE FLOAT", "10/1/2031", "10/1/2031", "10/1/2032", "10/1/2032", "", "1.10190025408897", "A", "", "A", "", "", "", "", "", "S", "", "S", "", "", "", "", "", "", "", "", "", "", "", "", "", "", "", "", "", "", "", "", "", "", "", "", "LONG PAYER", "", "", "", "", "", "", "", "", "", "", "", "", "", "", "", "", "", "", "", "", "", "", "", "", "", "", "", "", "", "", "", "", "", "", "", "", "", "", "", "", "", "", "", "", "", "", "", "", "", "", ""
            }
        }
    }
}
</t>
  </si>
  <si>
    <t xml:space="preserve">
                "port12", "ADD", "1", "", "", "", "", "", "", "", "SWAPTION_EUROPEAN", "", "", "", "", "", "", "SWP", "", "", "FIRM", "I", "", "", "", "", "", "EUR", "EUR", "10000000", "10000000", "PAY FIXED", "RECEIVE FLOAT", "10/1/2032", "10/1/2032", "10/3/2033", "10/3/2033", "", "1.10190025408897", "A", "", "A", "", "", "", "", "", "S", "", "S", "", "", "", "", "", "", "", "", "", "", "", "", "", "", "", "", "", "", "", "", "", "", "", "", "LONG PAYER", "", "", "", "", "", "", "", "", "", "", "", "", "", "", "", "", "", "", "", "", "", "", "", "", "", "", "", "", "", "", "", "", "", "", "", "", "", "", "", "", "", "", "", "", "", "", "", "", "", "", ""
            }
        }
    }
}
</t>
  </si>
  <si>
    <t xml:space="preserve">
                "port12", "ADD", "1", "", "", "", "", "", "", "", "SWAPTION_EUROPEAN", "", "", "", "", "", "", "SWP", "", "", "FIRM", "I", "", "", "", "", "", "EUR", "EUR", "10000000", "10000000", "PAY FIXED", "RECEIVE FLOAT", "10/3/2033", "10/3/2033", "10/3/2034", "10/3/2034", "", "1.10190025408897", "A", "", "A", "", "", "", "", "", "S", "", "S", "", "", "", "", "", "", "", "", "", "", "", "", "", "", "", "", "", "", "", "", "", "", "", "", "LONG PAYER", "", "", "", "", "", "", "", "", "", "", "", "", "", "", "", "", "", "", "", "", "", "", "", "", "", "", "", "", "", "", "", "", "", "", "", "", "", "", "", "", "", "", "", "", "", "", "", "", "", "", ""
            }
        }
    }
}
</t>
  </si>
  <si>
    <t xml:space="preserve">
                "port12", "ADD", "1", "", "", "", "", "", "", "", "SWAPTION_EUROPEAN", "", "", "", "", "", "", "SWP", "", "", "FIRM", "I", "", "", "", "", "", "EUR", "EUR", "10000000", "10000000", "PAY FIXED", "RECEIVE FLOAT", "10/2/2034", "10/2/2034", "10/2/2035", "10/2/2035", "", "1.10190025408897", "A", "", "A", "", "", "", "", "", "S", "", "S", "", "", "", "", "", "", "", "", "", "", "", "", "", "", "", "", "", "", "", "", "", "", "", "", "LONG PAYER", "", "", "", "", "", "", "", "", "", "", "", "", "", "", "", "", "", "", "", "", "", "", "", "", "", "", "", "", "", "", "", "", "", "", "", "", "", "", "", "", "", "", "", "", "", "", "", "", "", "", ""
            }
        }
    }
}
</t>
  </si>
  <si>
    <t xml:space="preserve">
                "port12", "ADD", "1", "", "", "", "", "", "", "", "SWAPTION_EUROPEAN", "", "", "", "", "", "", "SWP", "", "", "FIRM", "I", "", "", "", "", "", "EUR", "EUR", "10000000", "10000000", "PAY FIXED", "RECEIVE FLOAT", "10/1/2021", "10/1/2021", "10/3/2022", "10/3/2022", "", "0.90186369715903", "A", "", "A", "", "", "", "", "", "S", "", "S", "", "", "", "", "", "", "", "", "", "", "", "", "", "", "", "", "", "", "", "", "", "", "", "", "LONG PAYER", "", "", "", "", "", "", "", "", "", "", "", "", "", "", "", "", "", "", "", "", "", "", "", "", "", "", "", "", "", "", "", "", "", "", "", "", "", "", "", "", "", "", "", "", "", "", "", "", "", "", ""
            }
        }
    }
}
</t>
  </si>
  <si>
    <t xml:space="preserve">
                "port12", "ADD", "1", "", "", "", "", "", "", "", "SWAPTION_EUROPEAN", "", "", "", "", "", "", "SWP", "", "", "FIRM", "I", "", "", "", "", "", "EUR", "EUR", "10000000", "10000000", "PAY FIXED", "RECEIVE FLOAT", "10/3/2022", "10/3/2022", "10/3/2023", "10/3/2023", "", "0.90186369715903", "A", "", "A", "", "", "", "", "", "S", "", "S", "", "", "", "", "", "", "", "", "", "", "", "", "", "", "", "", "", "", "", "", "", "", "", "", "LONG PAYER", "", "", "", "", "", "", "", "", "", "", "", "", "", "", "", "", "", "", "", "", "", "", "", "", "", "", "", "", "", "", "", "", "", "", "", "", "", "", "", "", "", "", "", "", "", "", "", "", "", "", ""
            }
        }
    }
}
</t>
  </si>
  <si>
    <t xml:space="preserve">
                "port12", "ADD", "1", "", "", "", "", "", "", "", "SWAPTION_EUROPEAN", "", "", "", "", "", "", "SWP", "", "", "FIRM", "I", "", "", "", "", "", "EUR", "EUR", "10000000", "10000000", "PAY FIXED", "RECEIVE FLOAT", "10/2/2023", "10/2/2023", "10/2/2024", "10/2/2024", "", "0.90186369715903", "A", "", "A", "", "", "", "", "", "S", "", "S", "", "", "", "", "", "", "", "", "", "", "", "", "", "", "", "", "", "", "", "", "", "", "", "", "LONG PAYER", "", "", "", "", "", "", "", "", "", "", "", "", "", "", "", "", "", "", "", "", "", "", "", "", "", "", "", "", "", "", "", "", "", "", "", "", "", "", "", "", "", "", "", "", "", "", "", "", "", "", ""
            }
        }
    }
}
</t>
  </si>
  <si>
    <t xml:space="preserve">
                "port12", "ADD", "1", "", "", "", "", "", "", "", "SWAPTION_EUROPEAN", "", "", "", "", "", "", "SWP", "", "", "FIRM", "I", "", "", "", "", "", "EUR", "EUR", "10000000", "10000000", "PAY FIXED", "RECEIVE FLOAT", "10/1/2024", "10/1/2024", "10/1/2025", "10/1/2025", "", "0.90186369715903", "A", "", "A", "", "", "", "", "", "S", "", "S", "", "", "", "", "", "", "", "", "", "", "", "", "", "", "", "", "", "", "", "", "", "", "", "", "LONG PAYER", "", "", "", "", "", "", "", "", "", "", "", "", "", "", "", "", "", "", "", "", "", "", "", "", "", "", "", "", "", "", "", "", "", "", "", "", "", "", "", "", "", "", "", "", "", "", "", "", "", "", ""
            }
        }
    }
}
</t>
  </si>
  <si>
    <t xml:space="preserve">
                "port12", "ADD", "1", "", "", "", "", "", "", "", "SWAPTION_EUROPEAN", "", "", "", "", "", "", "SWP", "", "", "FIRM", "I", "", "", "", "", "", "EUR", "EUR", "10000000", "10000000", "PAY FIXED", "RECEIVE FLOAT", "10/1/2025", "10/1/2025", "10/1/2026", "10/1/2026", "", "0.90186369715903", "A", "", "A", "", "", "", "", "", "S", "", "S", "", "", "", "", "", "", "", "", "", "", "", "", "", "", "", "", "", "", "", "", "", "", "", "", "LONG PAYER", "", "", "", "", "", "", "", "", "", "", "", "", "", "", "", "", "", "", "", "", "", "", "", "", "", "", "", "", "", "", "", "", "", "", "", "", "", "", "", "", "", "", "", "", "", "", "", "", "", "", ""
            }
        }
    }
}
</t>
  </si>
  <si>
    <t xml:space="preserve">
                "port12", "ADD", "1", "", "", "", "", "", "", "", "SWAPTION_EUROPEAN", "", "", "", "", "", "", "SWP", "", "", "FIRM", "I", "", "", "", "", "", "EUR", "EUR", "10000000", "10000000", "PAY FIXED", "RECEIVE FLOAT", "10/1/2026", "10/1/2026", "10/1/2027", "10/1/2027", "", "0.90186369715903", "A", "", "A", "", "", "", "", "", "S", "", "S", "", "", "", "", "", "", "", "", "", "", "", "", "", "", "", "", "", "", "", "", "", "", "", "", "LONG PAYER", "", "", "", "", "", "", "", "", "", "", "", "", "", "", "", "", "", "", "", "", "", "", "", "", "", "", "", "", "", "", "", "", "", "", "", "", "", "", "", "", "", "", "", "", "", "", "", "", "", "", ""
            }
        }
    }
}
</t>
  </si>
  <si>
    <t xml:space="preserve">
                "port12", "ADD", "1", "", "", "", "", "", "", "", "SWAPTION_EUROPEAN", "", "", "", "", "", "", "SWP", "", "", "FIRM", "I", "", "", "", "", "", "EUR", "EUR", "10000000", "10000000", "PAY FIXED", "RECEIVE FLOAT", "10/1/2027", "10/1/2027", "10/2/2028", "10/2/2028", "", "0.90186369715903", "A", "", "A", "", "", "", "", "", "S", "", "S", "", "", "", "", "", "", "", "", "", "", "", "", "", "", "", "", "", "", "", "", "", "", "", "", "LONG PAYER", "", "", "", "", "", "", "", "", "", "", "", "", "", "", "", "", "", "", "", "", "", "", "", "", "", "", "", "", "", "", "", "", "", "", "", "", "", "", "", "", "", "", "", "", "", "", "", "", "", "", ""
            }
        }
    }
}
</t>
  </si>
  <si>
    <t xml:space="preserve">
                "port12", "ADD", "1", "", "", "", "", "", "", "", "SWAPTION_EUROPEAN", "", "", "", "", "", "", "SWP", "", "", "FIRM", "I", "", "", "", "", "", "EUR", "EUR", "10000000", "10000000", "PAY FIXED", "RECEIVE FLOAT", "10/2/2028", "10/2/2028", "10/2/2029", "10/2/2029", "", "0.90186369715903", "A", "", "A", "", "", "", "", "", "S", "", "S", "", "", "", "", "", "", "", "", "", "", "", "", "", "", "", "", "", "", "", "", "", "", "", "", "LONG PAYER", "", "", "", "", "", "", "", "", "", "", "", "", "", "", "", "", "", "", "", "", "", "", "", "", "", "", "", "", "", "", "", "", "", "", "", "", "", "", "", "", "", "", "", "", "", "", "", "", "", "", ""
            }
        }
    }
}
</t>
  </si>
  <si>
    <t xml:space="preserve">
                "port12", "ADD", "1", "", "", "", "", "", "", "", "SWAPTION_EUROPEAN", "", "", "", "", "", "", "SWP", "", "", "FIRM", "I", "", "", "", "", "", "EUR", "EUR", "10000000", "10000000", "PAY FIXED", "RECEIVE FLOAT", "10/1/2029", "10/1/2029", "10/1/2030", "10/1/2030", "", "0.90186369715903", "A", "", "A", "", "", "", "", "", "S", "", "S", "", "", "", "", "", "", "", "", "", "", "", "", "", "", "", "", "", "", "", "", "", "", "", "", "LONG PAYER", "", "", "", "", "", "", "", "", "", "", "", "", "", "", "", "", "", "", "", "", "", "", "", "", "", "", "", "", "", "", "", "", "", "", "", "", "", "", "", "", "", "", "", "", "", "", "", "", "", "", ""
            }
        }
    }
}
</t>
  </si>
  <si>
    <t xml:space="preserve">
                "port12", "ADD", "2", "", "", "", "", "", "", "", "SWAPTION_EUROPEAN", "", "", "", "", "", "", "SWP", "", "", "FIRM", "I", "", "", "", "", "", "EUR", "EUR", "10000000", "10000000", "PAY FIXED", "RECEIVE FLOAT", "10/1/2030", "10/1/2030", "10/1/2035", "10/1/2035", "", "1.99560500609706", "A", "", "A", "", "", "", "", "", "S", "", "S", "", "", "", "", "", "", "", "", "", "", "", "", "", "", "", "", "", "", "", "", "", "", "", "", "LONG PAYER", "", "", "", "", "", "", "", "", "", "", "", "", "", "", "", "", "", "", "", "", "", "", "", "", "", "", "", "", "", "", "", "", "", "", "", "", "", "", "", "", "", "", "", "", "", "", "", "", "", "", ""
            }
        }
    }
}
</t>
  </si>
  <si>
    <t xml:space="preserve">
                "port12", "ADD", "3", "", "", "", "", "", "", "", "SWAPTION_EUROPEAN", "", "", "", "", "", "", "SWP", "", "", "FIRM", "I", "", "", "", "", "", "EUR", "EUR", "10000000", "10000000", "PAY FIXED", "RECEIVE FLOAT", "10/1/2035", "10/1/2035", "10/1/2040", "10/1/2040", "", "1.99560500609706", "A", "", "A", "", "", "", "", "", "S", "", "S", "", "", "", "", "", "", "", "", "", "", "", "", "", "", "", "", "", "", "", "", "", "", "", "", "LONG PAYER", "", "", "", "", "", "", "", "", "", "", "", "", "", "", "", "", "", "", "", "", "", "", "", "", "", "", "", "", "", "", "", "", "", "", "", "", "", "", "", "", "", "", "", "", "", "", "", "", "", "", ""
            }
        }
    }
}
</t>
  </si>
  <si>
    <t xml:space="preserve">
                "port12", "ADD", "4", "", "", "", "", "", "", "", "SWAPTION_EUROPEAN", "", "", "", "", "", "", "SWP", "", "", "FIRM", "I", "", "", "", "", "", "EUR", "EUR", "10000000", "10000000", "PAY FIXED", "RECEIVE FLOAT", "10/1/2040", "10/1/2040", "10/2/2045", "10/2/2045", "", "1.99560500609706", "A", "", "A", "", "", "", "", "", "S", "", "S", "", "", "", "", "", "", "", "", "", "", "", "", "", "", "", "", "", "", "", "", "", "", "", "", "LONG PAYER", "", "", "", "", "", "", "", "", "", "", "", "", "", "", "", "", "", "", "", "", "", "", "", "", "", "", "", "", "", "", "", "", "", "", "", "", "", "", "", "", "", "", "", "", "", "", "", "", "", "", ""
            }
        }
    }
}
</t>
  </si>
  <si>
    <t xml:space="preserve">
                "port12", "ADD", "5", "", "", "", "", "", "", "", "SWAPTION_EUROPEAN", "", "", "", "", "", "", "SWP", "", "", "FIRM", "I", "", "", "", "", "", "EUR", "EUR", "10000000", "10000000", "PAY FIXED", "RECEIVE FLOAT", "10/1/2040", "10/1/2040", "10/2/2045", "10/2/2045", "", "2.52316274676989", "A", "", "A", "", "", "", "", "", "S", "", "S", "", "", "", "", "", "", "", "", "", "", "", "", "", "", "", "", "", "", "", "", "", "", "", "", "LONG PAYER", "", "", "", "", "", "", "", "", "", "", "", "", "", "", "", "", "", "", "", "", "", "", "", "", "", "", "", "", "", "", "", "", "", "", "", "", "", "", "", "", "", "", "", "", "", "", "", "", "", "", ""
            }
        }
    }
}
</t>
  </si>
  <si>
    <t xml:space="preserve">
        totalSecurityNum = 56
        processedSecurityNum = 1
        successSecurityNum = 1
        assetClassesResponse[] = </t>
  </si>
  <si>
    <t xml:space="preserve">
                        securityExcelID = "14"
                        securityID = "SLEI569A Corp"
                        marsAction = "ADD"
                        bbUniqueId = "COSLEI569A"
                    }
                }
            }
        }
        error = </t>
  </si>
  <si>
    <t xml:space="preserve">
                        securityExcelID = "15"
                        securityID = "SLEI569B Corp"
                        marsAction = "ADD"
                        bbUniqueId = "COSLEI569B"
                    }
                }
            }
        }
        error = </t>
  </si>
  <si>
    <t xml:space="preserve">
                        securityExcelID = "13"
                        securityID = "SLEI569C Corp"
                        marsAction = "ADD"
                        bbUniqueId = "COSLEI569C"
                    }
                }
            }
        }
        error = </t>
  </si>
  <si>
    <t xml:space="preserve">
                        securityExcelID = "19"
                        securityID = "SLEI569D Corp"
                        marsAction = "ADD"
                        bbUniqueId = "COSLEI569D"
                    }
                }
            }
        }
        error = </t>
  </si>
  <si>
    <t xml:space="preserve">
                        securityExcelID = "17"
                        securityID = "SLEI569E Corp"
                        marsAction = "ADD"
                        bbUniqueId = "COSLEI569E"
                    }
                }
            }
        }
        error = </t>
  </si>
  <si>
    <t xml:space="preserve">
                        securityExcelID = "16"
                        securityID = "SLEI569F Corp"
                        marsAction = "ADD"
                        bbUniqueId = "COSLEI569F"
                    }
                }
            }
        }
        error = </t>
  </si>
  <si>
    <t xml:space="preserve">
                        securityExcelID = "18"
                        securityID = "SLEI569G Corp"
                        marsAction = "ADD"
                        bbUniqueId = "COSLEI569G"
                    }
                }
            }
        }
        error = </t>
  </si>
  <si>
    <t xml:space="preserve">
                        securityExcelID = "21"
                        securityID = "SLEI569H Corp"
                        marsAction = "ADD"
                        bbUniqueId = "COSLEI569H"
                    }
                }
            }
        }
        error = </t>
  </si>
  <si>
    <t xml:space="preserve">
                        securityExcelID = "20"
                        securityID = "SLEI569I Corp"
                        marsAction = "ADD"
                        bbUniqueId = "COSLEI569I"
                    }
                }
            }
        }
        error = </t>
  </si>
  <si>
    <t xml:space="preserve">
                        securityExcelID = "22"
                        securityID = "SLEI569J Corp"
                        marsAction = "ADD"
                        bbUniqueId = "COSLEI569J"
                    }
                }
            }
        }
        error = </t>
  </si>
  <si>
    <t xml:space="preserve">
                        securityExcelID = "24"
                        securityID = "SLEI569K Corp"
                        marsAction = "ADD"
                        bbUniqueId = "COSLEI569K"
                    }
                }
            }
        }
        error = </t>
  </si>
  <si>
    <t xml:space="preserve">
                        securityExcelID = "25"
                        securityID = "SLEI569L Corp"
                        marsAction = "ADD"
                        bbUniqueId = "COSLEI569L"
                    }
                }
            }
        }
        error = </t>
  </si>
  <si>
    <t xml:space="preserve">
                        securityExcelID = "23"
                        securityID = "SLEI569M Corp"
                        marsAction = "ADD"
                        bbUniqueId = "COSLEI569M"
                    }
                }
            }
        }
        error = </t>
  </si>
  <si>
    <t xml:space="preserve">
                        securityExcelID = "26"
                        securityID = "SLEI569N Corp"
                        marsAction = "ADD"
                        bbUniqueId = "COSLEI569N"
                    }
                }
            }
        }
        error = </t>
  </si>
  <si>
    <t xml:space="preserve">
                        securityExcelID = "29"
                        securityID = "SLEI569O Corp"
                        marsAction = "ADD"
                        bbUniqueId = "COSLEI569O"
                    }
                }
            }
        }
        error = </t>
  </si>
  <si>
    <t xml:space="preserve">
                        securityExcelID = "27"
                        securityID = "SLEI569P Corp"
                        marsAction = "ADD"
                        bbUniqueId = "COSLEI569P"
                    }
                }
            }
        }
        error = </t>
  </si>
  <si>
    <t xml:space="preserve">
                        securityExcelID = "28"
                        securityID = "SLEI569Q Corp"
                        marsAction = "ADD"
                        bbUniqueId = "COSLEI569Q"
                    }
                }
            }
        }
        error = </t>
  </si>
  <si>
    <t xml:space="preserve">
                        securityExcelID = "30"
                        securityID = "SLEI569R Corp"
                        marsAction = "ADD"
                        bbUniqueId = "COSLEI569R"
                    }
                }
            }
        }
        error = </t>
  </si>
  <si>
    <t xml:space="preserve">
                        securityExcelID = "32"
                        securityID = "SLEI569S Corp"
                        marsAction = "ADD"
                        bbUniqueId = "COSLEI569S"
                    }
                }
            }
        }
        error = </t>
  </si>
  <si>
    <t xml:space="preserve">
                        securityExcelID = "33"
                        securityID = "SLEI569T Corp"
                        marsAction = "ADD"
                        bbUniqueId = "COSLEI569T"
                    }
                }
            }
        }
        error = </t>
  </si>
  <si>
    <t xml:space="preserve">
                        securityExcelID = "31"
                        securityID = "SLEI569U Corp"
                        marsAction = "ADD"
                        bbUniqueId = "COSLEI569U"
                    }
                }
            }
        }
        error = </t>
  </si>
  <si>
    <t xml:space="preserve">
                        securityExcelID = "36"
                        securityID = "SLEI569V Corp"
                        marsAction = "ADD"
                        bbUniqueId = "COSLEI569V"
                    }
                }
            }
        }
        error = </t>
  </si>
  <si>
    <t xml:space="preserve">
                        securityExcelID = "37"
                        securityID = "SLEI569W Corp"
                        marsAction = "ADD"
                        bbUniqueId = "COSLEI569W"
                    }
                }
            }
        }
        error = </t>
  </si>
  <si>
    <t xml:space="preserve">
                        securityExcelID = "34"
                        securityID = "SLEI569X Corp"
                        marsAction = "ADD"
                        bbUniqueId = "COSLEI569X"
                    }
                }
            }
        }
        error = </t>
  </si>
  <si>
    <t xml:space="preserve">
                        securityExcelID = "35"
                        securityID = "SLEI569Y Corp"
                        marsAction = "ADD"
                        bbUniqueId = "COSLEI569Y"
                    }
                }
            }
        }
        error = </t>
  </si>
  <si>
    <t xml:space="preserve">
                        securityExcelID = "38"
                        securityID = "SLEI569Z Corp"
                        marsAction = "ADD"
                        bbUniqueId = "COSLEI569Z"
                    }
                }
            }
        }
        error = </t>
  </si>
  <si>
    <t xml:space="preserve">
                        securityExcelID = "41"
                        securityID = "SLEI56A0 Corp"
                        marsAction = "ADD"
                        bbUniqueId = "COSLEI56A0"
                    }
                }
            }
        }
        error = </t>
  </si>
  <si>
    <t xml:space="preserve">
                        securityExcelID = "39"
                        securityID = "SLEI56A1 Corp"
                        marsAction = "ADD"
                        bbUniqueId = "COSLEI56A1"
                    }
                }
            }
        }
        error = </t>
  </si>
  <si>
    <t xml:space="preserve">
                        securityExcelID = "40"
                        securityID = "SLEI56A2 Corp"
                        marsAction = "ADD"
                        bbUniqueId = "COSLEI56A2"
                    }
                }
            }
        }
        error = </t>
  </si>
  <si>
    <t xml:space="preserve">
                        securityExcelID = "43"
                        securityID = "SLEI56A3 Corp"
                        marsAction = "ADD"
                        bbUniqueId = "COSLEI56A3"
                    }
                }
            }
        }
        error = </t>
  </si>
  <si>
    <t xml:space="preserve">
                        securityExcelID = "44"
                        securityID = "SLEI56A4 Corp"
                        marsAction = "ADD"
                        bbUniqueId = "COSLEI56A4"
                    }
                }
            }
        }
        error = </t>
  </si>
  <si>
    <t xml:space="preserve">
                        securityExcelID = "46"
                        securityID = "SLEI56A5 Corp"
                        marsAction = "ADD"
                        bbUniqueId = "COSLEI56A5"
                    }
                }
            }
        }
        error = </t>
  </si>
  <si>
    <t xml:space="preserve">
                        securityExcelID = "47"
                        securityID = "SLEI56A6 Corp"
                        marsAction = "ADD"
                        bbUniqueId = "COSLEI56A6"
                    }
                }
            }
        }
        error = </t>
  </si>
  <si>
    <t xml:space="preserve">
                        securityExcelID = "42"
                        securityID = "SLEI56A7 Corp"
                        marsAction = "ADD"
                        bbUniqueId = "COSLEI56A7"
                    }
                }
            }
        }
        error = </t>
  </si>
  <si>
    <t xml:space="preserve">
                        securityExcelID = "45"
                        securityID = "SLEI56A8 Corp"
                        marsAction = "ADD"
                        bbUniqueId = "COSLEI56A8"
                    }
                }
            }
        }
        error = </t>
  </si>
  <si>
    <t xml:space="preserve">
                        securityExcelID = "48"
                        securityID = "SLEI56A9 Corp"
                        marsAction = "ADD"
                        bbUniqueId = "COSLEI56A9"
                    }
                }
            }
        }
        error = </t>
  </si>
  <si>
    <t xml:space="preserve">
                        securityExcelID = "50"
                        securityID = "SLEI56AA Corp"
                        marsAction = "ADD"
                        bbUniqueId = "COSLEI56AA"
                    }
                }
            }
        }
        error = </t>
  </si>
  <si>
    <t xml:space="preserve">
                        securityExcelID = "49"
                        securityID = "SLEI56AB Corp"
                        marsAction = "ADD"
                        bbUniqueId = "COSLEI56AB"
                    }
                }
            }
        }
        error = </t>
  </si>
  <si>
    <t xml:space="preserve">
                        securityExcelID = "51"
                        securityID = "SLEI56AC Corp"
                        marsAction = "ADD"
                        bbUniqueId = "COSLEI56AC"
                    }
                }
            }
        }
        error = </t>
  </si>
  <si>
    <t xml:space="preserve">
                        securityExcelID = "52"
                        securityID = "SLEI56AD Corp"
                        marsAction = "ADD"
                        bbUniqueId = "COSLEI56AD"
                    }
                }
            }
        }
        error = </t>
  </si>
  <si>
    <t xml:space="preserve">
                        securityExcelID = "56"
                        securityID = "SLEI56AE Corp"
                        marsAction = "ADD"
                        bbUniqueId = "COSLEI56AE"
                    }
                }
            }
        }
        error = </t>
  </si>
  <si>
    <t xml:space="preserve">
                        securityExcelID = "54"
                        securityID = "SLEI56AF Corp"
                        marsAction = "ADD"
                        bbUniqueId = "COSLEI56AF"
                    }
                }
            }
        }
        error = </t>
  </si>
  <si>
    <t xml:space="preserve">
                        securityExcelID = "57"
                        securityID = "SLEI56AG Corp"
                        marsAction = "ADD"
                        bbUniqueId = "COSLEI56AG"
                    }
                }
            }
        }
        error = </t>
  </si>
  <si>
    <t xml:space="preserve">
                        securityExcelID = "55"
                        securityID = "SLEI56AH Corp"
                        marsAction = "ADD"
                        bbUniqueId = "COSLEI56AH"
                    }
                }
            }
        }
        error = </t>
  </si>
  <si>
    <t xml:space="preserve">
                        securityExcelID = "53"
                        securityID = "SLEI56AI Corp"
                        marsAction = "ADD"
                        bbUniqueId = "COSLEI56AI"
                    }
                }
            }
        }
        error = </t>
  </si>
  <si>
    <t xml:space="preserve">
                        securityExcelID = "58"
                        securityID = "SLEI56AJ Corp"
                        marsAction = "ADD"
                        bbUniqueId = "COSLEI56AJ"
                    }
                }
            }
        }
        error = </t>
  </si>
  <si>
    <t xml:space="preserve">
                        securityExcelID = "61"
                        securityID = "SLEI56AK Corp"
                        marsAction = "ADD"
                        bbUniqueId = "COSLEI56AK"
                    }
                }
            }
        }
        error = </t>
  </si>
  <si>
    <t xml:space="preserve">
                        securityExcelID = "59"
                        securityID = "SLEI56AL Corp"
                        marsAction = "ADD"
                        bbUniqueId = "COSLEI56AL"
                    }
                }
            }
        }
        error = </t>
  </si>
  <si>
    <t xml:space="preserve">
                        securityExcelID = "60"
                        securityID = "SLEI56AM Corp"
                        marsAction = "ADD"
                        bbUniqueId = "COSLEI56AM"
                    }
                }
            }
        }
        error = </t>
  </si>
  <si>
    <t xml:space="preserve">
                        securityExcelID = "62"
                        securityID = "SLEI56AN Corp"
                        marsAction = "ADD"
                        bbUniqueId = "COSLEI56AN"
                    }
                }
            }
        }
        error = </t>
  </si>
  <si>
    <t xml:space="preserve">
                        securityExcelID = "66"
                        securityID = "SLEI56AO Corp"
                        marsAction = "ADD"
                        bbUniqueId = "COSLEI56AO"
                    }
                }
            }
        }
        error = </t>
  </si>
  <si>
    <t xml:space="preserve">
                        securityExcelID = "64"
                        securityID = "SLEI56AP Corp"
                        marsAction = "ADD"
                        bbUniqueId = "COSLEI56AP"
                    }
                }
            }
        }
        error = </t>
  </si>
  <si>
    <t xml:space="preserve">
                        securityExcelID = "67"
                        securityID = "SLEI56AQ Corp"
                        marsAction = "ADD"
                        bbUniqueId = "COSLEI56AQ"
                    }
                }
            }
        }
        error = </t>
  </si>
  <si>
    <t xml:space="preserve">
                        securityExcelID = "63"
                        securityID = "SLEI56AR Corp"
                        marsAction = "ADD"
                        bbUniqueId = "COSLEI56AR"
                    }
                }
            }
        }
        error = </t>
  </si>
  <si>
    <t xml:space="preserve">
                        securityExcelID = "68"
                        securityID = "SLEI56AS Corp"
                        marsAction = "ADD"
                        bbUniqueId = "COSLEI56AS"
                    }
                }
            }
        }
        error = </t>
  </si>
  <si>
    <t xml:space="preserve">
                        securityExcelID = "65"
                        securityID = "SLEI56AT Corp"
                        marsAction = "ADD"
                        bbUniqueId = "COSLEI56AT"
                    }
                }
            }
        }
        error = </t>
  </si>
  <si>
    <t>OptionStyle</t>
  </si>
  <si>
    <t>OptionPosition</t>
  </si>
  <si>
    <t>Long Payer</t>
  </si>
  <si>
    <t>OptionDeliveryMethod</t>
  </si>
  <si>
    <t>Cleared (Physical)</t>
  </si>
  <si>
    <t>Privilege</t>
  </si>
  <si>
    <t>Notional</t>
  </si>
  <si>
    <t>OptionStrike</t>
  </si>
  <si>
    <t>Leg[1].EffectiveDate</t>
  </si>
  <si>
    <t>Leg[1].MaturityDate</t>
  </si>
  <si>
    <t>MaturityDate</t>
  </si>
  <si>
    <t>Curve Date</t>
  </si>
  <si>
    <t>Market Date</t>
  </si>
  <si>
    <t>STK code</t>
  </si>
  <si>
    <t>Bprice</t>
  </si>
  <si>
    <t>=BSTRUCTURE("OV",STKAidSheet!$A$1,STKAidSheet!$B$1,STKAidSheet!$A$2,STKAidSheet!$B$2,STKAidSheet!$A$3,STKAidSheet!$B$3,STKAidSheet!$A$4,STKAidSheet!$B$4,STKAidSheet!$A$5,STKAidSheet!$B$5,STKAidSheet!$A$6,STKAidSheet!$B$6,$K$4,K5,$L$4,L5,$M$4,M5,$N$4,N5)</t>
  </si>
  <si>
    <t>=@BView(AB5,"FwdDealPremium,DV01,vega","HEADERS=N","cols=3;rows=1")</t>
  </si>
  <si>
    <t>=BPRICE(P5,"MarketDate",$R$2,"ValuationDate",$R$1)</t>
  </si>
  <si>
    <t>Set the correct link to the signaalrapport that should be in the same folder as this file</t>
  </si>
  <si>
    <t>CELL K4 gives the CPR rate: this rate is only used for the comutation of the annual premium, not for the calculation of the amounts at restrike date (as we do not want to give the option to the customer)</t>
  </si>
  <si>
    <t>Copy and paste the formulas from P3, Q3 and AB3 into the rows below (we do this so we can copy paste values in the end and this file doesn't change the instant we open it for Audit purposes)</t>
  </si>
  <si>
    <t>Wait until all the fields have values</t>
  </si>
  <si>
    <t>Copy paste values of columns P, Q and AB</t>
  </si>
  <si>
    <t>copy paste value to premium formules</t>
  </si>
  <si>
    <t>WK 8/3/3 25y</t>
  </si>
  <si>
    <t>#N/A Mandatory parameter [OBJECTID] cannot be empty</t>
  </si>
  <si>
    <t>OV 3195216494</t>
  </si>
  <si>
    <t>PRICE GREEKS OV 2543786071</t>
  </si>
  <si>
    <t>OV 3931761213</t>
  </si>
  <si>
    <t>PRICE GREEKS OV 2030348257</t>
  </si>
  <si>
    <t>OV 3211050739</t>
  </si>
  <si>
    <t>PRICE GREEKS OV 3464944188</t>
  </si>
  <si>
    <t>OV 555416065</t>
  </si>
  <si>
    <t>PRICE GREEKS OV 3969932726</t>
  </si>
  <si>
    <t>OV 4245186901</t>
  </si>
  <si>
    <t>PRICE GREEKS OV 3972837696</t>
  </si>
  <si>
    <t>OV 3762155411</t>
  </si>
  <si>
    <t>PRICE GREEKS OV 3417549844</t>
  </si>
  <si>
    <t>OV 3811168589</t>
  </si>
  <si>
    <t>PRICE GREEKS OV 3165209919</t>
  </si>
  <si>
    <t>OV 3979156134</t>
  </si>
  <si>
    <t>PRICE GREEKS OV 1605176488</t>
  </si>
  <si>
    <t>OV 3908860320</t>
  </si>
  <si>
    <t>PRICE GREEKS OV 3649765189</t>
  </si>
  <si>
    <t>OV 1504905743</t>
  </si>
  <si>
    <t>PRICE GREEKS OV 1715611827</t>
  </si>
  <si>
    <t>OV 2202864861</t>
  </si>
  <si>
    <t>PRICE GREEKS OV 1899819621</t>
  </si>
  <si>
    <t>OV 2946337906</t>
  </si>
  <si>
    <t>PRICE GREEKS OV 3019267759</t>
  </si>
  <si>
    <t>OV 3159306711</t>
  </si>
  <si>
    <t>PRICE GREEKS OV 1723252303</t>
  </si>
  <si>
    <t>OV 3943015546</t>
  </si>
  <si>
    <t>PRICE GREEKS OV 1079849633</t>
  </si>
  <si>
    <t>OV 296064195</t>
  </si>
  <si>
    <t>PRICE GREEKS OV 1089578966</t>
  </si>
  <si>
    <t>OV 3818375083</t>
  </si>
  <si>
    <t>PRICE GREEKS OV 1267990187</t>
  </si>
  <si>
    <t>OV 3919504060</t>
  </si>
  <si>
    <t>PRICE GREEKS OV 2891234292</t>
  </si>
  <si>
    <t>OV 1758134187</t>
  </si>
  <si>
    <t>PRICE GREEKS OV 3847795130</t>
  </si>
  <si>
    <t>OV 3862252600</t>
  </si>
  <si>
    <t>PRICE GREEKS OV 3597368946</t>
  </si>
  <si>
    <t>OV 3171469955</t>
  </si>
  <si>
    <t>PRICE GREEKS OV 4027167533</t>
  </si>
  <si>
    <t>OV 1725233386</t>
  </si>
  <si>
    <t>PRICE GREEKS OV 2237181515</t>
  </si>
  <si>
    <t>OV 2887163228</t>
  </si>
  <si>
    <t>PRICE GREEKS OV 3882746847</t>
  </si>
  <si>
    <t>OV 3064634175</t>
  </si>
  <si>
    <t>PRICE GREEKS OV 3960750956</t>
  </si>
  <si>
    <t>OV 2656882170</t>
  </si>
  <si>
    <t>PRICE GREEKS OV 3796364502</t>
  </si>
  <si>
    <t>OV 3587660163</t>
  </si>
  <si>
    <t>PRICE GREEKS OV 4088006979</t>
  </si>
  <si>
    <t>OV 3404677752</t>
  </si>
  <si>
    <t>PRICE GREEKS OV 2357852592</t>
  </si>
  <si>
    <t>OV 2924480486</t>
  </si>
  <si>
    <t>PRICE GREEKS OV 2912421822</t>
  </si>
  <si>
    <t>OV 2017985003</t>
  </si>
  <si>
    <t>PRICE GREEKS OV 3921853637</t>
  </si>
  <si>
    <t>OV 3371968707</t>
  </si>
  <si>
    <t>PRICE GREEKS OV 4083159616</t>
  </si>
  <si>
    <t>OV 3542737481</t>
  </si>
  <si>
    <t>PRICE GREEKS OV 3107153047</t>
  </si>
  <si>
    <t>OV 2330090822</t>
  </si>
  <si>
    <t>PRICE GREEKS OV 4150274066</t>
  </si>
  <si>
    <t>OV 2194697945</t>
  </si>
  <si>
    <t>PRICE GREEKS OV 3088744355</t>
  </si>
  <si>
    <t>OV 1490816445</t>
  </si>
  <si>
    <t>PRICE GREEKS OV 3744622668</t>
  </si>
  <si>
    <t>OV 3937880366</t>
  </si>
  <si>
    <t>PRICE GREEKS OV 2331045874</t>
  </si>
  <si>
    <t>OV 3973113671</t>
  </si>
  <si>
    <t>PRICE GREEKS OV 4172981706</t>
  </si>
  <si>
    <t>OV 1318148538</t>
  </si>
  <si>
    <t>PRICE GREEKS OV 3974841527</t>
  </si>
  <si>
    <t>OV 3623877824</t>
  </si>
  <si>
    <t>PRICE GREEKS OV 1907932757</t>
  </si>
  <si>
    <t>OV 3748801866</t>
  </si>
  <si>
    <t>PRICE GREEKS OV 2677396205</t>
  </si>
  <si>
    <t>OV 4100129392</t>
  </si>
  <si>
    <t>PRICE GREEKS OV 2014883968</t>
  </si>
  <si>
    <t>OV 3468010891</t>
  </si>
  <si>
    <t>PRICE GREEKS OV 3762539834</t>
  </si>
  <si>
    <t>OV 2789802086</t>
  </si>
  <si>
    <t>PRICE GREEKS OV 1186105050</t>
  </si>
  <si>
    <t>OV 4195851196</t>
  </si>
  <si>
    <t>PRICE GREEKS OV 2682732772</t>
  </si>
  <si>
    <t>OV 878447088</t>
  </si>
  <si>
    <t>PRICE GREEKS OV 3489767218</t>
  </si>
  <si>
    <t>OV 4257633543</t>
  </si>
  <si>
    <t>PRICE GREEKS OV 4116506242</t>
  </si>
  <si>
    <t>OV 3510625454</t>
  </si>
  <si>
    <t>PRICE GREEKS OV 2595052270</t>
  </si>
  <si>
    <t>OV 2296645364</t>
  </si>
  <si>
    <t>PRICE GREEKS OV 4256633604</t>
  </si>
  <si>
    <t>OV 3531125599</t>
  </si>
  <si>
    <t>PRICE GREEKS OV 3255662375</t>
  </si>
  <si>
    <t>OV 4128121167</t>
  </si>
  <si>
    <t>PRICE GREEKS OV 4178782677</t>
  </si>
  <si>
    <t>OV 3387356804</t>
  </si>
  <si>
    <t>PRICE GREEKS OV 4152101633</t>
  </si>
  <si>
    <t>OV 2815919720</t>
  </si>
  <si>
    <t>PRICE GREEKS OV 4001825179</t>
  </si>
  <si>
    <t>OV 1561085596</t>
  </si>
  <si>
    <t>PRICE GREEKS OV 4156820364</t>
  </si>
  <si>
    <t>OV 3571045907</t>
  </si>
  <si>
    <t>PRICE GREEKS OV 3898710864</t>
  </si>
  <si>
    <t>OV 3063581766</t>
  </si>
  <si>
    <t>PRICE GREEKS OV 4253831400</t>
  </si>
  <si>
    <t>OV 3062779730</t>
  </si>
  <si>
    <t>PRICE GREEKS OV 4081773384</t>
  </si>
  <si>
    <t>OV 3980969833</t>
  </si>
  <si>
    <t>PRICE GREEKS OV 2613839607</t>
  </si>
  <si>
    <t>OV 2270317133</t>
  </si>
  <si>
    <t>PRICE GREEKS OV 1457950843</t>
  </si>
  <si>
    <t>OV 2775941743</t>
  </si>
  <si>
    <t>OV 354636123</t>
  </si>
  <si>
    <t>OV 2910890625</t>
  </si>
  <si>
    <t>OV 3606871020</t>
  </si>
  <si>
    <t>OV 4105979658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</si>
</sst>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_(* \(#,##0.00\);_(* &quot;-&quot;??_);_(@_)"/>
    <numFmt numFmtId="164" formatCode="_-* #,##0.00_-;\-* #,##0.00_-;_-* &quot;-&quot;??_-;_-@_-"/>
    <numFmt numFmtId="165" formatCode="_-* #,##0.00\ &quot;€&quot;_-;\-* #,##0.00\ &quot;€&quot;_-;_-* &quot;-&quot;??\ &quot;€&quot;_-;_-@_-"/>
    <numFmt numFmtId="166" formatCode="0.0000"/>
    <numFmt numFmtId="167" formatCode="_-* #,##0_-;\-* #,##0_-;_-* &quot;-&quot;??_-;_-@_-"/>
    <numFmt numFmtId="168" formatCode="#,##0.00_ ;[Red]\-#,##0.00\ "/>
    <numFmt numFmtId="169" formatCode="[$-409]d\-mmm\-yy;@"/>
    <numFmt numFmtId="170" formatCode="_-* #,##0.000_-;\-* #,##0.000_-;_-* &quot;-&quot;??_-;_-@_-"/>
    <numFmt numFmtId="171" formatCode="#,##0.000"/>
    <numFmt numFmtId="172" formatCode="_(* #,##0.000_);_(* \(#,##0.000\);_(* &quot;-&quot;??_);_(@_)"/>
    <numFmt numFmtId="173" formatCode="0.000"/>
    <numFmt numFmtId="174" formatCode="0.0"/>
  </numFmts>
  <fonts count="54">
    <font>
      <sz val="11"/>
      <color theme="1"/>
      <name val="Calibri"/>
      <family val="2"/>
      <scheme val="minor"/>
    </font>
    <font>
      <b/>
      <i/>
      <sz val="10"/>
      <name val="Arial"/>
      <family val="2"/>
    </font>
    <font>
      <b/>
      <i/>
      <sz val="10"/>
      <name val="Arial"/>
      <family val="2"/>
    </font>
    <font>
      <sz val="10"/>
      <name val="Arial"/>
      <family val="2"/>
    </font>
    <font>
      <sz val="10"/>
      <name val="Arial"/>
      <family val="2"/>
    </font>
    <font>
      <sz val="10"/>
      <name val="Arial"/>
      <family val="2"/>
    </font>
    <font>
      <sz val="10"/>
      <name val="Arial"/>
      <family val="2"/>
    </font>
    <font>
      <sz val="8"/>
      <name val="Arial"/>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0"/>
      <color theme="1"/>
      <name val="Arial"/>
      <family val="2"/>
    </font>
    <font>
      <b/>
      <sz val="9"/>
      <color indexed="81"/>
      <name val="Tahoma"/>
      <family val="2"/>
    </font>
    <font>
      <sz val="9"/>
      <color indexed="81"/>
      <name val="Tahoma"/>
      <family val="2"/>
    </font>
    <font>
      <sz val="11"/>
      <color rgb="FF008000"/>
      <name val="Calibri"/>
      <family val="2"/>
      <scheme val="minor"/>
    </font>
    <font>
      <sz val="9"/>
      <color theme="0"/>
      <name val="Calibri"/>
      <family val="2"/>
      <scheme val="minor"/>
    </font>
    <font>
      <sz val="10"/>
      <color theme="1"/>
      <name val="Calibri"/>
      <family val="2"/>
      <scheme val="minor"/>
    </font>
    <font>
      <sz val="10"/>
      <color theme="0"/>
      <name val="Calibri"/>
      <family val="2"/>
      <scheme val="minor"/>
    </font>
    <font>
      <i/>
      <sz val="11"/>
      <color theme="1"/>
      <name val="Calibri"/>
      <family val="2"/>
      <scheme val="minor"/>
    </font>
    <font>
      <sz val="11"/>
      <color rgb="FF000000"/>
      <name val="Calibri"/>
      <family val="2"/>
    </font>
    <font>
      <sz val="10"/>
      <name val="MS Sans Serif"/>
      <family val="2"/>
    </font>
    <font>
      <sz val="9"/>
      <name val="Arial"/>
      <family val="2"/>
    </font>
    <font>
      <sz val="10.5"/>
      <color theme="1"/>
      <name val="Frutiger 45 Light"/>
      <family val="2"/>
    </font>
    <font>
      <b/>
      <sz val="14"/>
      <color indexed="9"/>
      <name val="MS Sans Serif"/>
      <family val="2"/>
    </font>
    <font>
      <sz val="10"/>
      <color theme="0" tint="-0.249977111117893"/>
      <name val="Calibri"/>
      <family val="2"/>
      <scheme val="minor"/>
    </font>
    <font>
      <b/>
      <sz val="10"/>
      <name val="Calibri"/>
      <family val="2"/>
      <scheme val="minor"/>
    </font>
    <font>
      <sz val="9"/>
      <color theme="1"/>
      <name val="Calibri"/>
      <family val="2"/>
      <scheme val="minor"/>
    </font>
    <font>
      <b/>
      <i/>
      <sz val="10"/>
      <color theme="1"/>
      <name val="Calibri"/>
      <family val="2"/>
      <scheme val="minor"/>
    </font>
    <font>
      <b/>
      <i/>
      <sz val="10"/>
      <name val="Calibri"/>
      <family val="2"/>
      <scheme val="minor"/>
    </font>
    <font>
      <b/>
      <i/>
      <sz val="10"/>
      <color theme="0"/>
      <name val="Calibri"/>
      <family val="2"/>
      <scheme val="minor"/>
    </font>
    <font>
      <b/>
      <sz val="10"/>
      <color rgb="FFFF00FF"/>
      <name val="Calibri"/>
      <family val="2"/>
      <scheme val="minor"/>
    </font>
    <font>
      <b/>
      <i/>
      <sz val="20"/>
      <color theme="0"/>
      <name val="Calibri"/>
      <family val="2"/>
      <scheme val="minor"/>
    </font>
    <font>
      <b/>
      <i/>
      <sz val="11"/>
      <color rgb="FFFF0000"/>
      <name val="Calibri"/>
      <family val="2"/>
      <scheme val="minor"/>
    </font>
    <font>
      <b/>
      <i/>
      <sz val="10"/>
      <color rgb="FFFF0000"/>
      <name val="Calibri"/>
      <family val="2"/>
      <scheme val="minor"/>
    </font>
    <font>
      <b/>
      <i/>
      <sz val="10"/>
      <color rgb="FF00B050"/>
      <name val="Calibri"/>
      <family val="2"/>
      <scheme val="minor"/>
    </font>
    <font>
      <b/>
      <sz val="10"/>
      <color rgb="FF00B050"/>
      <name val="Calibri"/>
      <family val="2"/>
    </font>
    <font>
      <sz val="10"/>
      <color rgb="FFFF00FF"/>
      <name val="Calibri"/>
      <family val="2"/>
      <scheme val="minor"/>
    </font>
    <font>
      <sz val="10"/>
      <color rgb="FF0070C0"/>
      <name val="Calibri"/>
      <family val="2"/>
      <scheme val="minor"/>
    </font>
    <font>
      <b/>
      <i/>
      <sz val="10"/>
      <color rgb="FF0070C0"/>
      <name val="Calibri"/>
      <family val="2"/>
      <scheme val="minor"/>
    </font>
    <font>
      <sz val="10"/>
      <color rgb="FFFF0000"/>
      <name val="Calibri"/>
      <family val="2"/>
      <scheme val="minor"/>
    </font>
  </fonts>
  <fills count="52">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9" tint="0.39997558519241921"/>
        <bgColor indexed="64"/>
      </patternFill>
    </fill>
    <fill>
      <patternFill patternType="solid">
        <fgColor rgb="FF92D050"/>
        <bgColor indexed="64"/>
      </patternFill>
    </fill>
    <fill>
      <patternFill patternType="solid">
        <fgColor theme="0"/>
        <bgColor indexed="64"/>
      </patternFill>
    </fill>
    <fill>
      <patternFill patternType="solid">
        <fgColor theme="4"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rgb="FFFFC000"/>
        <bgColor indexed="64"/>
      </patternFill>
    </fill>
    <fill>
      <patternFill patternType="solid">
        <fgColor indexed="9"/>
        <bgColor indexed="9"/>
      </patternFill>
    </fill>
    <fill>
      <patternFill patternType="mediumGray">
        <fgColor indexed="42"/>
        <bgColor indexed="31"/>
      </patternFill>
    </fill>
    <fill>
      <patternFill patternType="solid">
        <fgColor theme="2" tint="-0.249977111117893"/>
        <bgColor indexed="64"/>
      </patternFill>
    </fill>
    <fill>
      <patternFill patternType="solid">
        <fgColor rgb="FF0070C0"/>
        <bgColor indexed="64"/>
      </patternFill>
    </fill>
    <fill>
      <patternFill patternType="solid">
        <fgColor theme="1"/>
        <bgColor indexed="64"/>
      </patternFill>
    </fill>
    <fill>
      <patternFill patternType="solid">
        <fgColor rgb="FF002060"/>
        <bgColor indexed="64"/>
      </patternFill>
    </fill>
    <fill>
      <patternFill patternType="solid">
        <fgColor rgb="FFC00000"/>
        <bgColor indexed="64"/>
      </patternFill>
    </fill>
    <fill>
      <patternFill patternType="solid">
        <fgColor theme="0" tint="-0.249977111117893"/>
        <bgColor indexed="64"/>
      </patternFill>
    </fill>
    <fill>
      <patternFill patternType="solid">
        <fgColor rgb="FFFF00FF"/>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4" tint="0.39997558519241921"/>
        <bgColor indexed="64"/>
      </patternFill>
    </fill>
  </fills>
  <borders count="29">
    <border>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indexed="64"/>
      </left>
      <right/>
      <top/>
      <bottom style="thin">
        <color indexed="64"/>
      </bottom>
      <diagonal/>
    </border>
    <border>
      <left/>
      <right style="thin">
        <color indexed="64"/>
      </right>
      <top/>
      <bottom/>
      <diagonal/>
    </border>
    <border>
      <left/>
      <right/>
      <top/>
      <bottom style="thick">
        <color indexed="32"/>
      </bottom>
      <diagonal/>
    </border>
    <border>
      <left style="thin">
        <color theme="0"/>
      </left>
      <right style="thin">
        <color theme="0"/>
      </right>
      <top style="thin">
        <color theme="0"/>
      </top>
      <bottom style="thin">
        <color theme="0"/>
      </bottom>
      <diagonal/>
    </border>
    <border>
      <left style="thin">
        <color rgb="FF008080"/>
      </left>
      <right style="thin">
        <color rgb="FF008080"/>
      </right>
      <top style="thin">
        <color rgb="FF008080"/>
      </top>
      <bottom style="thin">
        <color rgb="FF008080"/>
      </bottom>
      <diagonal/>
    </border>
    <border>
      <left style="thin">
        <color theme="0"/>
      </left>
      <right/>
      <top style="thin">
        <color theme="0"/>
      </top>
      <bottom/>
      <diagonal/>
    </border>
    <border>
      <left style="thin">
        <color theme="0"/>
      </left>
      <right/>
      <top/>
      <bottom/>
      <diagonal/>
    </border>
    <border>
      <left style="thin">
        <color theme="0"/>
      </left>
      <right style="thin">
        <color theme="0"/>
      </right>
      <top style="thin">
        <color theme="0"/>
      </top>
      <bottom/>
      <diagonal/>
    </border>
    <border>
      <left style="thin">
        <color theme="0"/>
      </left>
      <right style="thin">
        <color theme="0"/>
      </right>
      <top/>
      <bottom/>
      <diagonal/>
    </border>
    <border>
      <left/>
      <right/>
      <top/>
      <bottom style="medium">
        <color rgb="FFC00000"/>
      </bottom>
      <diagonal/>
    </border>
    <border>
      <left style="medium">
        <color auto="1"/>
      </left>
      <right/>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99">
    <xf numFmtId="0" fontId="0" fillId="0" borderId="0"/>
    <xf numFmtId="0" fontId="8" fillId="2" borderId="0" applyNumberFormat="0" applyBorder="0" applyAlignment="0" applyProtection="0"/>
    <xf numFmtId="0" fontId="8"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10" fillId="26" borderId="0" applyNumberFormat="0" applyBorder="0" applyAlignment="0" applyProtection="0"/>
    <xf numFmtId="0" fontId="11" fillId="27" borderId="1" applyNumberFormat="0" applyAlignment="0" applyProtection="0"/>
    <xf numFmtId="0" fontId="12" fillId="28" borderId="2" applyNumberFormat="0" applyAlignment="0" applyProtection="0"/>
    <xf numFmtId="164" fontId="8" fillId="0" borderId="0" applyFont="0" applyFill="0" applyBorder="0" applyAlignment="0" applyProtection="0"/>
    <xf numFmtId="164" fontId="1" fillId="0" borderId="0" applyFont="0" applyFill="0" applyBorder="0" applyAlignment="0" applyProtection="0"/>
    <xf numFmtId="164" fontId="2" fillId="0" borderId="0" applyFont="0" applyFill="0" applyBorder="0" applyAlignment="0" applyProtection="0"/>
    <xf numFmtId="164" fontId="1" fillId="0" borderId="0" applyFont="0" applyFill="0" applyBorder="0" applyAlignment="0" applyProtection="0"/>
    <xf numFmtId="0" fontId="13" fillId="0" borderId="0" applyNumberFormat="0" applyFill="0" applyBorder="0" applyAlignment="0" applyProtection="0"/>
    <xf numFmtId="0" fontId="14" fillId="2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30" borderId="1" applyNumberFormat="0" applyAlignment="0" applyProtection="0"/>
    <xf numFmtId="0" fontId="19" fillId="0" borderId="6" applyNumberFormat="0" applyFill="0" applyAlignment="0" applyProtection="0"/>
    <xf numFmtId="0" fontId="20" fillId="31" borderId="0" applyNumberFormat="0" applyBorder="0" applyAlignment="0" applyProtection="0"/>
    <xf numFmtId="0" fontId="8" fillId="0" borderId="0"/>
    <xf numFmtId="0" fontId="3" fillId="0" borderId="0" applyNumberFormat="0" applyFont="0" applyFill="0" applyBorder="0" applyAlignment="0" applyProtection="0"/>
    <xf numFmtId="0" fontId="4" fillId="0" borderId="0" applyNumberFormat="0" applyFont="0" applyFill="0" applyBorder="0" applyAlignment="0" applyProtection="0"/>
    <xf numFmtId="0" fontId="3" fillId="0" borderId="0" applyNumberFormat="0" applyFont="0" applyFill="0" applyBorder="0" applyAlignment="0" applyProtection="0"/>
    <xf numFmtId="0" fontId="3" fillId="0" borderId="0"/>
    <xf numFmtId="0" fontId="4" fillId="0" borderId="0"/>
    <xf numFmtId="0" fontId="3" fillId="0" borderId="0"/>
    <xf numFmtId="0" fontId="6" fillId="0" borderId="0"/>
    <xf numFmtId="0" fontId="5" fillId="0" borderId="0"/>
    <xf numFmtId="0" fontId="3" fillId="0" borderId="0"/>
    <xf numFmtId="0" fontId="6" fillId="0" borderId="0"/>
    <xf numFmtId="0" fontId="8" fillId="32" borderId="7" applyNumberFormat="0" applyFont="0" applyAlignment="0" applyProtection="0"/>
    <xf numFmtId="0" fontId="8" fillId="32" borderId="7" applyNumberFormat="0" applyFont="0" applyAlignment="0" applyProtection="0"/>
    <xf numFmtId="0" fontId="21" fillId="27" borderId="8" applyNumberFormat="0" applyAlignment="0" applyProtection="0"/>
    <xf numFmtId="0" fontId="22" fillId="0" borderId="0" applyNumberFormat="0" applyFill="0" applyBorder="0" applyAlignment="0" applyProtection="0"/>
    <xf numFmtId="0" fontId="23" fillId="0" borderId="9" applyNumberFormat="0" applyFill="0" applyAlignment="0" applyProtection="0"/>
    <xf numFmtId="0" fontId="24" fillId="0" borderId="0" applyNumberFormat="0" applyFill="0" applyBorder="0" applyAlignment="0" applyProtection="0"/>
    <xf numFmtId="0" fontId="3" fillId="0" borderId="0"/>
    <xf numFmtId="0" fontId="3" fillId="0" borderId="0"/>
    <xf numFmtId="0" fontId="3" fillId="0" borderId="0"/>
    <xf numFmtId="165" fontId="3" fillId="0" borderId="0" applyFont="0" applyFill="0" applyBorder="0" applyAlignment="0" applyProtection="0"/>
    <xf numFmtId="43" fontId="8" fillId="0" borderId="0" applyFont="0" applyFill="0" applyBorder="0" applyAlignment="0" applyProtection="0"/>
    <xf numFmtId="164" fontId="8" fillId="0" borderId="0" applyFont="0" applyFill="0" applyBorder="0" applyAlignment="0" applyProtection="0"/>
    <xf numFmtId="164" fontId="8" fillId="0" borderId="0" applyFont="0" applyFill="0" applyBorder="0" applyAlignment="0" applyProtection="0"/>
    <xf numFmtId="0" fontId="34" fillId="40" borderId="10" applyNumberFormat="0" applyFont="0" applyBorder="0" applyAlignment="0" applyProtection="0">
      <alignment horizontal="centerContinuous"/>
    </xf>
    <xf numFmtId="0" fontId="3" fillId="0" borderId="11">
      <alignment horizontal="center"/>
    </xf>
    <xf numFmtId="0" fontId="35" fillId="0" borderId="0"/>
    <xf numFmtId="0" fontId="8" fillId="0" borderId="0"/>
    <xf numFmtId="0" fontId="8" fillId="0" borderId="0"/>
    <xf numFmtId="0" fontId="3" fillId="0" borderId="0"/>
    <xf numFmtId="0" fontId="3" fillId="0" borderId="0"/>
    <xf numFmtId="0" fontId="36" fillId="0" borderId="0"/>
    <xf numFmtId="0" fontId="3" fillId="0" borderId="0"/>
    <xf numFmtId="9" fontId="3" fillId="0" borderId="0" applyFont="0" applyFill="0" applyBorder="0" applyAlignment="0" applyProtection="0"/>
    <xf numFmtId="168" fontId="37" fillId="41" borderId="12" applyFont="0" applyBorder="0" applyAlignment="0" applyProtection="0">
      <alignment horizontal="centerContinuous"/>
    </xf>
    <xf numFmtId="43" fontId="8" fillId="0" borderId="0" applyFont="0" applyFill="0" applyBorder="0" applyAlignment="0" applyProtection="0"/>
    <xf numFmtId="0" fontId="35" fillId="0" borderId="0"/>
    <xf numFmtId="0" fontId="8" fillId="0" borderId="0"/>
    <xf numFmtId="0" fontId="8" fillId="0" borderId="0"/>
    <xf numFmtId="0" fontId="36" fillId="0" borderId="0"/>
    <xf numFmtId="0" fontId="35" fillId="0" borderId="0"/>
    <xf numFmtId="0" fontId="8" fillId="0" borderId="0"/>
    <xf numFmtId="0" fontId="35" fillId="0" borderId="0"/>
    <xf numFmtId="0" fontId="8" fillId="0" borderId="0"/>
    <xf numFmtId="43" fontId="8" fillId="0" borderId="0" applyFont="0" applyFill="0" applyBorder="0" applyAlignment="0" applyProtection="0"/>
    <xf numFmtId="0" fontId="35" fillId="0" borderId="0"/>
    <xf numFmtId="0" fontId="8" fillId="0" borderId="0"/>
    <xf numFmtId="0" fontId="8" fillId="0" borderId="0"/>
    <xf numFmtId="0" fontId="36" fillId="0" borderId="0"/>
    <xf numFmtId="0" fontId="35" fillId="0" borderId="0"/>
    <xf numFmtId="0" fontId="35" fillId="0" borderId="0"/>
    <xf numFmtId="0" fontId="8" fillId="0" borderId="0"/>
    <xf numFmtId="0" fontId="8" fillId="0" borderId="0"/>
    <xf numFmtId="0" fontId="35" fillId="0" borderId="0"/>
    <xf numFmtId="0" fontId="8" fillId="0" borderId="0"/>
    <xf numFmtId="0" fontId="3" fillId="0" borderId="0"/>
    <xf numFmtId="43" fontId="3" fillId="0" borderId="0" applyFont="0" applyFill="0" applyBorder="0" applyAlignment="0" applyProtection="0"/>
    <xf numFmtId="43" fontId="3" fillId="0" borderId="0" applyFont="0" applyFill="0" applyBorder="0" applyAlignment="0" applyProtection="0"/>
  </cellStyleXfs>
  <cellXfs count="112">
    <xf numFmtId="0" fontId="0" fillId="0" borderId="0" xfId="0"/>
    <xf numFmtId="0" fontId="0" fillId="34" borderId="0" xfId="0" applyFill="1"/>
    <xf numFmtId="14" fontId="0" fillId="0" borderId="0" xfId="0" applyNumberFormat="1"/>
    <xf numFmtId="0" fontId="30" fillId="0" borderId="0" xfId="0" applyFont="1"/>
    <xf numFmtId="0" fontId="30" fillId="0" borderId="0" xfId="0" applyFont="1" applyFill="1"/>
    <xf numFmtId="0" fontId="0" fillId="0" borderId="0" xfId="0" applyFill="1" applyBorder="1"/>
    <xf numFmtId="0" fontId="7" fillId="0" borderId="0" xfId="48" applyFont="1" applyFill="1" applyBorder="1" applyAlignment="1">
      <alignment vertical="center" wrapText="1"/>
    </xf>
    <xf numFmtId="49" fontId="25" fillId="0" borderId="0" xfId="0" applyNumberFormat="1" applyFont="1" applyFill="1" applyBorder="1"/>
    <xf numFmtId="49" fontId="3" fillId="0" borderId="0" xfId="0" applyNumberFormat="1" applyFont="1" applyFill="1" applyBorder="1"/>
    <xf numFmtId="49" fontId="3" fillId="0" borderId="0" xfId="48" applyNumberFormat="1" applyFont="1" applyFill="1" applyBorder="1"/>
    <xf numFmtId="0" fontId="3" fillId="0" borderId="0" xfId="45" applyFont="1" applyFill="1" applyBorder="1"/>
    <xf numFmtId="0" fontId="28" fillId="0" borderId="0" xfId="41" applyFont="1" applyFill="1" applyBorder="1"/>
    <xf numFmtId="0" fontId="7" fillId="0" borderId="0" xfId="45" applyFont="1" applyFill="1" applyBorder="1" applyAlignment="1">
      <alignment horizontal="left" vertical="top" wrapText="1"/>
    </xf>
    <xf numFmtId="0" fontId="7" fillId="0" borderId="0" xfId="45" applyFont="1" applyFill="1" applyBorder="1" applyAlignment="1">
      <alignment vertical="top" wrapText="1"/>
    </xf>
    <xf numFmtId="0" fontId="32" fillId="0" borderId="0" xfId="0" applyFont="1"/>
    <xf numFmtId="0" fontId="0" fillId="0" borderId="0" xfId="0" applyAlignment="1"/>
    <xf numFmtId="0" fontId="0" fillId="0" borderId="0" xfId="0"/>
    <xf numFmtId="0" fontId="0" fillId="38" borderId="0" xfId="0" applyFill="1"/>
    <xf numFmtId="0" fontId="0" fillId="39" borderId="0" xfId="0" applyFill="1"/>
    <xf numFmtId="171" fontId="30" fillId="0" borderId="0" xfId="0" applyNumberFormat="1" applyFont="1"/>
    <xf numFmtId="0" fontId="38" fillId="35" borderId="0" xfId="96" applyFont="1" applyFill="1"/>
    <xf numFmtId="172" fontId="39" fillId="42" borderId="13" xfId="97" applyNumberFormat="1" applyFont="1" applyFill="1" applyBorder="1"/>
    <xf numFmtId="0" fontId="40" fillId="0" borderId="0" xfId="0" applyFont="1"/>
    <xf numFmtId="14" fontId="30" fillId="0" borderId="0" xfId="0" applyNumberFormat="1" applyFont="1"/>
    <xf numFmtId="0" fontId="41" fillId="0" borderId="0" xfId="0" applyFont="1"/>
    <xf numFmtId="169" fontId="42" fillId="39" borderId="13" xfId="0" applyNumberFormat="1" applyFont="1" applyFill="1" applyBorder="1" applyAlignment="1">
      <alignment horizontal="center"/>
    </xf>
    <xf numFmtId="3" fontId="30" fillId="0" borderId="0" xfId="0" applyNumberFormat="1" applyFont="1"/>
    <xf numFmtId="0" fontId="43" fillId="46" borderId="13" xfId="0" applyFont="1" applyFill="1" applyBorder="1" applyAlignment="1">
      <alignment horizontal="center"/>
    </xf>
    <xf numFmtId="10" fontId="42" fillId="39" borderId="13" xfId="0" applyNumberFormat="1" applyFont="1" applyFill="1" applyBorder="1" applyAlignment="1">
      <alignment horizontal="center"/>
    </xf>
    <xf numFmtId="0" fontId="43" fillId="44" borderId="13" xfId="0" applyFont="1" applyFill="1" applyBorder="1" applyAlignment="1">
      <alignment horizontal="center" vertical="center" wrapText="1"/>
    </xf>
    <xf numFmtId="0" fontId="43" fillId="46" borderId="13" xfId="0" applyFont="1" applyFill="1" applyBorder="1" applyAlignment="1">
      <alignment horizontal="center" vertical="center" wrapText="1"/>
    </xf>
    <xf numFmtId="0" fontId="43" fillId="45" borderId="13" xfId="0" applyFont="1" applyFill="1" applyBorder="1" applyAlignment="1">
      <alignment horizontal="center"/>
    </xf>
    <xf numFmtId="0" fontId="42" fillId="39" borderId="13" xfId="0" applyFont="1" applyFill="1" applyBorder="1" applyAlignment="1">
      <alignment horizontal="center"/>
    </xf>
    <xf numFmtId="166" fontId="31" fillId="44" borderId="0" xfId="0" applyNumberFormat="1" applyFont="1" applyFill="1" applyAlignment="1">
      <alignment horizontal="center"/>
    </xf>
    <xf numFmtId="0" fontId="41" fillId="0" borderId="0" xfId="0" applyFont="1" applyAlignment="1">
      <alignment horizontal="center"/>
    </xf>
    <xf numFmtId="169" fontId="30" fillId="0" borderId="0" xfId="0" applyNumberFormat="1" applyFont="1"/>
    <xf numFmtId="173" fontId="30" fillId="0" borderId="0" xfId="0" applyNumberFormat="1" applyFont="1" applyAlignment="1">
      <alignment horizontal="center"/>
    </xf>
    <xf numFmtId="173" fontId="30" fillId="0" borderId="0" xfId="0" applyNumberFormat="1" applyFont="1"/>
    <xf numFmtId="0" fontId="41" fillId="0" borderId="0" xfId="0" applyFont="1" applyFill="1" applyBorder="1" applyAlignment="1">
      <alignment horizontal="center"/>
    </xf>
    <xf numFmtId="0" fontId="43" fillId="46" borderId="14" xfId="0" applyFont="1" applyFill="1" applyBorder="1" applyAlignment="1">
      <alignment horizontal="center"/>
    </xf>
    <xf numFmtId="166" fontId="30" fillId="0" borderId="0" xfId="0" applyNumberFormat="1" applyFont="1" applyAlignment="1">
      <alignment horizontal="center"/>
    </xf>
    <xf numFmtId="2" fontId="30" fillId="0" borderId="0" xfId="0" applyNumberFormat="1" applyFont="1" applyAlignment="1">
      <alignment horizontal="center"/>
    </xf>
    <xf numFmtId="174" fontId="30" fillId="0" borderId="0" xfId="0" applyNumberFormat="1" applyFont="1" applyAlignment="1">
      <alignment horizontal="center"/>
    </xf>
    <xf numFmtId="174" fontId="44" fillId="44" borderId="15" xfId="0" applyNumberFormat="1" applyFont="1" applyFill="1" applyBorder="1" applyAlignment="1">
      <alignment horizontal="center"/>
    </xf>
    <xf numFmtId="174" fontId="44" fillId="44" borderId="16" xfId="0" applyNumberFormat="1" applyFont="1" applyFill="1" applyBorder="1" applyAlignment="1">
      <alignment horizontal="center"/>
    </xf>
    <xf numFmtId="0" fontId="31" fillId="44" borderId="17" xfId="0" applyFont="1" applyFill="1" applyBorder="1" applyAlignment="1">
      <alignment horizontal="center"/>
    </xf>
    <xf numFmtId="0" fontId="31" fillId="44" borderId="18" xfId="0" applyFont="1" applyFill="1" applyBorder="1" applyAlignment="1">
      <alignment horizontal="center"/>
    </xf>
    <xf numFmtId="0" fontId="45" fillId="46" borderId="13" xfId="0" applyFont="1" applyFill="1" applyBorder="1" applyAlignment="1">
      <alignment horizontal="center" vertical="center"/>
    </xf>
    <xf numFmtId="3" fontId="43" fillId="46" borderId="13" xfId="0" applyNumberFormat="1" applyFont="1" applyFill="1" applyBorder="1" applyAlignment="1">
      <alignment horizontal="center"/>
    </xf>
    <xf numFmtId="0" fontId="9" fillId="43" borderId="19" xfId="0" applyFont="1" applyFill="1" applyBorder="1"/>
    <xf numFmtId="0" fontId="46" fillId="0" borderId="0" xfId="0" applyFont="1"/>
    <xf numFmtId="0" fontId="47" fillId="0" borderId="0" xfId="0" applyFont="1"/>
    <xf numFmtId="0" fontId="48" fillId="0" borderId="0" xfId="0" applyFont="1"/>
    <xf numFmtId="0" fontId="49" fillId="0" borderId="0" xfId="0" applyFont="1"/>
    <xf numFmtId="0" fontId="42" fillId="34" borderId="13" xfId="0" applyFont="1" applyFill="1" applyBorder="1" applyAlignment="1">
      <alignment horizontal="center"/>
    </xf>
    <xf numFmtId="0" fontId="29" fillId="36" borderId="0" xfId="0" applyFont="1" applyFill="1" applyAlignment="1">
      <alignment horizontal="center"/>
    </xf>
    <xf numFmtId="0" fontId="29" fillId="36" borderId="0" xfId="0" applyFont="1" applyFill="1"/>
    <xf numFmtId="171" fontId="42" fillId="39" borderId="13" xfId="0" applyNumberFormat="1" applyFont="1" applyFill="1" applyBorder="1" applyAlignment="1">
      <alignment horizontal="center"/>
    </xf>
    <xf numFmtId="0" fontId="30" fillId="38" borderId="0" xfId="0" applyFont="1" applyFill="1"/>
    <xf numFmtId="0" fontId="30" fillId="0" borderId="0" xfId="0" quotePrefix="1" applyFont="1"/>
    <xf numFmtId="0" fontId="30" fillId="0" borderId="21" xfId="0" quotePrefix="1" applyFont="1" applyBorder="1"/>
    <xf numFmtId="0" fontId="30" fillId="0" borderId="0" xfId="0" applyFont="1" applyBorder="1"/>
    <xf numFmtId="14" fontId="30" fillId="0" borderId="21" xfId="0" quotePrefix="1" applyNumberFormat="1" applyFont="1" applyBorder="1"/>
    <xf numFmtId="0" fontId="30" fillId="0" borderId="10" xfId="0" quotePrefix="1" applyFont="1" applyBorder="1"/>
    <xf numFmtId="0" fontId="30" fillId="0" borderId="22" xfId="0" applyFont="1" applyBorder="1"/>
    <xf numFmtId="4" fontId="30" fillId="0" borderId="0" xfId="0" applyNumberFormat="1" applyFont="1"/>
    <xf numFmtId="3" fontId="50" fillId="0" borderId="0" xfId="0" applyNumberFormat="1" applyFont="1" applyAlignment="1">
      <alignment horizontal="center"/>
    </xf>
    <xf numFmtId="2" fontId="31" fillId="48" borderId="18" xfId="0" applyNumberFormat="1" applyFont="1" applyFill="1" applyBorder="1" applyAlignment="1">
      <alignment horizontal="center"/>
    </xf>
    <xf numFmtId="0" fontId="50" fillId="0" borderId="0" xfId="0" applyFont="1"/>
    <xf numFmtId="2" fontId="30" fillId="48" borderId="0" xfId="0" applyNumberFormat="1" applyFont="1" applyFill="1" applyAlignment="1">
      <alignment horizontal="center"/>
    </xf>
    <xf numFmtId="0" fontId="30" fillId="48" borderId="0" xfId="0" applyFont="1" applyFill="1"/>
    <xf numFmtId="0" fontId="42" fillId="48" borderId="13" xfId="0" applyFont="1" applyFill="1" applyBorder="1" applyAlignment="1">
      <alignment horizontal="center"/>
    </xf>
    <xf numFmtId="4" fontId="30" fillId="48" borderId="0" xfId="0" applyNumberFormat="1" applyFont="1" applyFill="1" applyAlignment="1">
      <alignment horizontal="center"/>
    </xf>
    <xf numFmtId="0" fontId="30" fillId="0" borderId="0" xfId="0" applyFont="1" applyAlignment="1">
      <alignment horizontal="right"/>
    </xf>
    <xf numFmtId="0" fontId="51" fillId="0" borderId="0" xfId="0" applyFont="1"/>
    <xf numFmtId="0" fontId="52" fillId="0" borderId="0" xfId="0" applyFont="1"/>
    <xf numFmtId="170" fontId="51" fillId="49" borderId="0" xfId="28" applyNumberFormat="1" applyFont="1" applyFill="1"/>
    <xf numFmtId="0" fontId="51" fillId="49" borderId="0" xfId="0" applyFont="1" applyFill="1"/>
    <xf numFmtId="167" fontId="30" fillId="49" borderId="0" xfId="28" applyNumberFormat="1" applyFont="1" applyFill="1"/>
    <xf numFmtId="167" fontId="30" fillId="0" borderId="0" xfId="28" applyNumberFormat="1" applyFont="1"/>
    <xf numFmtId="167" fontId="50" fillId="0" borderId="0" xfId="28" applyNumberFormat="1" applyFont="1"/>
    <xf numFmtId="167" fontId="50" fillId="50" borderId="0" xfId="28" applyNumberFormat="1" applyFont="1" applyFill="1"/>
    <xf numFmtId="0" fontId="53" fillId="0" borderId="0" xfId="0" applyFont="1"/>
    <xf numFmtId="3" fontId="53" fillId="37" borderId="0" xfId="0" applyNumberFormat="1" applyFont="1" applyFill="1" applyAlignment="1">
      <alignment horizontal="center"/>
    </xf>
    <xf numFmtId="3" fontId="31" fillId="48" borderId="0" xfId="0" applyNumberFormat="1" applyFont="1" applyFill="1" applyAlignment="1">
      <alignment horizontal="center"/>
    </xf>
    <xf numFmtId="0" fontId="50" fillId="0" borderId="0" xfId="0" applyFont="1" applyAlignment="1">
      <alignment horizontal="center" wrapText="1"/>
    </xf>
    <xf numFmtId="164" fontId="51" fillId="49" borderId="0" xfId="28" applyFont="1" applyFill="1"/>
    <xf numFmtId="3" fontId="30" fillId="33" borderId="0" xfId="0" applyNumberFormat="1" applyFont="1" applyFill="1" applyAlignment="1">
      <alignment horizontal="center"/>
    </xf>
    <xf numFmtId="0" fontId="30" fillId="33" borderId="0" xfId="0" applyFont="1" applyFill="1"/>
    <xf numFmtId="0" fontId="40" fillId="0" borderId="24" xfId="0" applyFont="1" applyBorder="1"/>
    <xf numFmtId="0" fontId="30" fillId="0" borderId="20" xfId="0" applyFont="1" applyBorder="1"/>
    <xf numFmtId="0" fontId="40" fillId="0" borderId="20" xfId="0" applyFont="1" applyBorder="1"/>
    <xf numFmtId="2" fontId="42" fillId="39" borderId="13" xfId="0" applyNumberFormat="1" applyFont="1" applyFill="1" applyBorder="1" applyAlignment="1">
      <alignment horizontal="center"/>
    </xf>
    <xf numFmtId="174" fontId="30" fillId="0" borderId="0" xfId="0" applyNumberFormat="1" applyFont="1"/>
    <xf numFmtId="2" fontId="3" fillId="47" borderId="25" xfId="0" applyNumberFormat="1" applyFont="1" applyFill="1" applyBorder="1" applyAlignment="1" applyProtection="1">
      <alignment horizontal="center"/>
    </xf>
    <xf numFmtId="10" fontId="30" fillId="34" borderId="0" xfId="0" applyNumberFormat="1" applyFont="1" applyFill="1" applyBorder="1"/>
    <xf numFmtId="174" fontId="30" fillId="34" borderId="11" xfId="0" applyNumberFormat="1" applyFont="1" applyFill="1" applyBorder="1"/>
    <xf numFmtId="10" fontId="30" fillId="34" borderId="22" xfId="0" applyNumberFormat="1" applyFont="1" applyFill="1" applyBorder="1"/>
    <xf numFmtId="174" fontId="30" fillId="34" borderId="23" xfId="0" applyNumberFormat="1" applyFont="1" applyFill="1" applyBorder="1"/>
    <xf numFmtId="0" fontId="30" fillId="0" borderId="26" xfId="0" applyFont="1" applyBorder="1"/>
    <xf numFmtId="0" fontId="0" fillId="51" borderId="27" xfId="0" applyFill="1" applyBorder="1"/>
    <xf numFmtId="0" fontId="0" fillId="51" borderId="28" xfId="0" applyFill="1" applyBorder="1" applyAlignment="1">
      <alignment horizontal="right"/>
    </xf>
    <xf numFmtId="0" fontId="0" fillId="0" borderId="27" xfId="0" applyBorder="1"/>
    <xf numFmtId="0" fontId="0" fillId="0" borderId="28" xfId="0" applyBorder="1" applyAlignment="1">
      <alignment horizontal="right"/>
    </xf>
    <xf numFmtId="0" fontId="0" fillId="51" borderId="11" xfId="0" applyFill="1" applyBorder="1"/>
    <xf numFmtId="0" fontId="0" fillId="0" borderId="0" xfId="0" applyAlignment="1">
      <alignment horizontal="right"/>
    </xf>
    <xf numFmtId="14" fontId="0" fillId="38" borderId="0" xfId="0" applyNumberFormat="1" applyFill="1"/>
    <xf numFmtId="14" fontId="0" fillId="37" borderId="0" xfId="0" applyNumberFormat="1" applyFill="1"/>
    <xf numFmtId="3" fontId="0" fillId="0" borderId="0" xfId="0" applyNumberFormat="1"/>
    <xf numFmtId="0" fontId="30" fillId="38" borderId="0" xfId="0" quotePrefix="1" applyFont="1" applyFill="1"/>
    <xf numFmtId="2" fontId="30" fillId="38" borderId="0" xfId="0" applyNumberFormat="1" applyFont="1" applyFill="1" applyAlignment="1">
      <alignment horizontal="center"/>
    </xf>
    <xf numFmtId="0" fontId="30" fillId="39" borderId="0" xfId="0" applyFont="1" applyFill="1"/>
  </cellXfs>
  <cellStyles count="99">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Comma 2" xfId="29" xr:uid="{00000000-0005-0000-0000-00001C000000}"/>
    <cellStyle name="Comma 2 2" xfId="30" xr:uid="{00000000-0005-0000-0000-00001D000000}"/>
    <cellStyle name="Comma 2 2 2" xfId="31" xr:uid="{00000000-0005-0000-0000-00001E000000}"/>
    <cellStyle name="Comma 2 3" xfId="85" xr:uid="{00000000-0005-0000-0000-00001F000000}"/>
    <cellStyle name="Comma 2 4" xfId="76" xr:uid="{00000000-0005-0000-0000-000020000000}"/>
    <cellStyle name="Comma 2_2-Interest Rate" xfId="62" xr:uid="{00000000-0005-0000-0000-000021000000}"/>
    <cellStyle name="Comma 3" xfId="63" xr:uid="{00000000-0005-0000-0000-000022000000}"/>
    <cellStyle name="Comma 4" xfId="64" xr:uid="{00000000-0005-0000-0000-000023000000}"/>
    <cellStyle name="Comma 5" xfId="98" xr:uid="{00000000-0005-0000-0000-000024000000}"/>
    <cellStyle name="Comma_Zero coupons DF et BPV continuous rates" xfId="97" xr:uid="{00000000-0005-0000-0000-000025000000}"/>
    <cellStyle name="Data" xfId="65" xr:uid="{00000000-0005-0000-0000-000026000000}"/>
    <cellStyle name="Euro" xfId="61" xr:uid="{00000000-0005-0000-0000-000027000000}"/>
    <cellStyle name="Explanatory Text" xfId="32" builtinId="53" customBuiltin="1"/>
    <cellStyle name="Good" xfId="33" builtinId="26" customBuiltin="1"/>
    <cellStyle name="Heading 1" xfId="34" builtinId="16" customBuiltin="1"/>
    <cellStyle name="Heading 2" xfId="35" builtinId="17" customBuiltin="1"/>
    <cellStyle name="Heading 3" xfId="36" builtinId="18" customBuiltin="1"/>
    <cellStyle name="Heading 4" xfId="37" builtinId="19" customBuiltin="1"/>
    <cellStyle name="Input" xfId="38" builtinId="20" customBuiltin="1"/>
    <cellStyle name="Linked Cell" xfId="39" builtinId="24" customBuiltin="1"/>
    <cellStyle name="MerlinPlusNotional" xfId="66" xr:uid="{00000000-0005-0000-0000-000031000000}"/>
    <cellStyle name="Neutral" xfId="40" builtinId="28" customBuiltin="1"/>
    <cellStyle name="Normal" xfId="0" builtinId="0"/>
    <cellStyle name="Normal 2" xfId="41" xr:uid="{00000000-0005-0000-0000-000034000000}"/>
    <cellStyle name="Normal 2 10" xfId="94" xr:uid="{00000000-0005-0000-0000-000035000000}"/>
    <cellStyle name="Normal 2 2" xfId="42" xr:uid="{00000000-0005-0000-0000-000036000000}"/>
    <cellStyle name="Normal 2 2 2" xfId="43" xr:uid="{00000000-0005-0000-0000-000037000000}"/>
    <cellStyle name="Normal 2 2 2 2" xfId="44" xr:uid="{00000000-0005-0000-0000-000038000000}"/>
    <cellStyle name="Normal 2 2 3" xfId="87" xr:uid="{00000000-0005-0000-0000-000039000000}"/>
    <cellStyle name="Normal 2 2 4" xfId="78" xr:uid="{00000000-0005-0000-0000-00003A000000}"/>
    <cellStyle name="Normal 2 2_2-Interest Rate" xfId="68" xr:uid="{00000000-0005-0000-0000-00003B000000}"/>
    <cellStyle name="Normal 2 3" xfId="60" xr:uid="{00000000-0005-0000-0000-00003C000000}"/>
    <cellStyle name="Normal 2 4" xfId="86" xr:uid="{00000000-0005-0000-0000-00003D000000}"/>
    <cellStyle name="Normal 2 5" xfId="90" xr:uid="{00000000-0005-0000-0000-00003E000000}"/>
    <cellStyle name="Normal 2 6" xfId="91" xr:uid="{00000000-0005-0000-0000-00003F000000}"/>
    <cellStyle name="Normal 2 7" xfId="77" xr:uid="{00000000-0005-0000-0000-000040000000}"/>
    <cellStyle name="Normal 2 8" xfId="81" xr:uid="{00000000-0005-0000-0000-000041000000}"/>
    <cellStyle name="Normal 2 9" xfId="83" xr:uid="{00000000-0005-0000-0000-000042000000}"/>
    <cellStyle name="Normal 2_2-Interest Rate" xfId="67" xr:uid="{00000000-0005-0000-0000-000043000000}"/>
    <cellStyle name="Normal 3" xfId="45" xr:uid="{00000000-0005-0000-0000-000044000000}"/>
    <cellStyle name="Normal 3 10" xfId="82" xr:uid="{00000000-0005-0000-0000-000045000000}"/>
    <cellStyle name="Normal 3 2" xfId="46" xr:uid="{00000000-0005-0000-0000-000046000000}"/>
    <cellStyle name="Normal 3 2 2" xfId="47" xr:uid="{00000000-0005-0000-0000-000047000000}"/>
    <cellStyle name="Normal 3 2_2-Interest Rate" xfId="70" xr:uid="{00000000-0005-0000-0000-000048000000}"/>
    <cellStyle name="Normal 3 3" xfId="48" xr:uid="{00000000-0005-0000-0000-000049000000}"/>
    <cellStyle name="Normal 3 3 2" xfId="58" xr:uid="{00000000-0005-0000-0000-00004A000000}"/>
    <cellStyle name="Normal 3 3_2-Interest Rate" xfId="71" xr:uid="{00000000-0005-0000-0000-00004B000000}"/>
    <cellStyle name="Normal 3 4" xfId="88" xr:uid="{00000000-0005-0000-0000-00004C000000}"/>
    <cellStyle name="Normal 3 5" xfId="92" xr:uid="{00000000-0005-0000-0000-00004D000000}"/>
    <cellStyle name="Normal 3 6" xfId="93" xr:uid="{00000000-0005-0000-0000-00004E000000}"/>
    <cellStyle name="Normal 3 7" xfId="79" xr:uid="{00000000-0005-0000-0000-00004F000000}"/>
    <cellStyle name="Normal 3 8" xfId="84" xr:uid="{00000000-0005-0000-0000-000050000000}"/>
    <cellStyle name="Normal 3 9" xfId="95" xr:uid="{00000000-0005-0000-0000-000051000000}"/>
    <cellStyle name="Normal 3_2-Interest Rate" xfId="69" xr:uid="{00000000-0005-0000-0000-000052000000}"/>
    <cellStyle name="Normal 4" xfId="49" xr:uid="{00000000-0005-0000-0000-000053000000}"/>
    <cellStyle name="Normal 4 2" xfId="50" xr:uid="{00000000-0005-0000-0000-000054000000}"/>
    <cellStyle name="Normal 4 3" xfId="89" xr:uid="{00000000-0005-0000-0000-000055000000}"/>
    <cellStyle name="Normal 4 4" xfId="80" xr:uid="{00000000-0005-0000-0000-000056000000}"/>
    <cellStyle name="Normal 4_2-Interest Rate" xfId="72" xr:uid="{00000000-0005-0000-0000-000057000000}"/>
    <cellStyle name="Normal 5" xfId="51" xr:uid="{00000000-0005-0000-0000-000058000000}"/>
    <cellStyle name="Normal 5 2" xfId="59" xr:uid="{00000000-0005-0000-0000-000059000000}"/>
    <cellStyle name="Normal 5_2-Interest Rate" xfId="73" xr:uid="{00000000-0005-0000-0000-00005A000000}"/>
    <cellStyle name="Normal_PerturbatiePEGGlobalLiq" xfId="96" xr:uid="{00000000-0005-0000-0000-00005B000000}"/>
    <cellStyle name="Note" xfId="52" builtinId="10" customBuiltin="1"/>
    <cellStyle name="Note 2" xfId="53" xr:uid="{00000000-0005-0000-0000-00005D000000}"/>
    <cellStyle name="Output" xfId="54" builtinId="21" customBuiltin="1"/>
    <cellStyle name="Percent 2" xfId="74" xr:uid="{00000000-0005-0000-0000-00005F000000}"/>
    <cellStyle name="Sales Pricing" xfId="75" xr:uid="{00000000-0005-0000-0000-000060000000}"/>
    <cellStyle name="Title" xfId="55" builtinId="15" customBuiltin="1"/>
    <cellStyle name="Total" xfId="56" builtinId="25" customBuiltin="1"/>
    <cellStyle name="Warning Text" xfId="57" builtinId="11" customBuiltin="1"/>
  </cellStyles>
  <dxfs count="0"/>
  <tableStyles count="0" defaultTableStyle="TableStyleMedium2" defaultPivotStyle="PivotStyleLight16"/>
  <colors>
    <mruColors>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bofaddin.rtdserver">
      <tp t="s">
        <v>#N/A N/A</v>
        <stp/>
        <stp>BPRICE|10528269374022130860</stp>
        <tr r="AB59" s="41"/>
      </tp>
      <tp t="s">
        <v>#N/A N/A</v>
        <stp/>
        <stp>BPRICE|11059615893522082232</stp>
        <tr r="AB33" s="41"/>
      </tp>
      <tp t="s">
        <v>#N/A N/A</v>
        <stp/>
        <stp>BPRICE|12456895318522348734</stp>
        <tr r="AB29" s="41"/>
      </tp>
      <tp t="s">
        <v>#N/A N/A</v>
        <stp/>
        <stp>BPRICE|16077930940312427731</stp>
        <tr r="AB61" s="41"/>
      </tp>
      <tp t="s">
        <v>#N/A N/A</v>
        <stp/>
        <stp>BPRICE|11657008099510538596</stp>
        <tr r="AB13" s="41"/>
      </tp>
      <tp t="s">
        <v>#N/A N/A</v>
        <stp/>
        <stp>BPRICE|18442140199488698598</stp>
        <tr r="AB25" s="41"/>
      </tp>
      <tp t="s">
        <v>#N/A N/A</v>
        <stp/>
        <stp>BPRICE|15609733322042044941</stp>
        <tr r="AB45" s="41"/>
      </tp>
      <tp t="s">
        <v>#N/A N/A</v>
        <stp/>
        <stp>BPRICE|11718980419056113458</stp>
        <tr r="AB24" s="41"/>
      </tp>
      <tp t="s">
        <v>#N/A N/A</v>
        <stp/>
        <stp>BPRICE|15958873409120061500</stp>
        <tr r="AB66" s="41"/>
      </tp>
      <tp t="s">
        <v>#N/A N/A</v>
        <stp/>
        <stp>BPRICE|14832025350381825843</stp>
        <tr r="AB10" s="41"/>
      </tp>
      <tp t="s">
        <v>#N/A N/A</v>
        <stp/>
        <stp>BPRICE|10238395971802768168</stp>
        <tr r="AB40" s="41"/>
      </tp>
      <tp t="s">
        <v>#N/A N/A</v>
        <stp/>
        <stp>BPRICE|16974289186452378964</stp>
        <tr r="AB19" s="41"/>
      </tp>
      <tp t="s">
        <v>#N/A N/A</v>
        <stp/>
        <stp>BPRICE|11303259671070133328</stp>
        <tr r="AB49" s="41"/>
      </tp>
      <tp t="s">
        <v>#N/A N/A</v>
        <stp/>
        <stp>BPRICE|16119429470692949235</stp>
        <tr r="AB26" s="41"/>
      </tp>
      <tp t="s">
        <v>#N/A N/A</v>
        <stp/>
        <stp>BPRICE|12620506416787545434</stp>
        <tr r="AB22" s="41"/>
      </tp>
    </main>
    <main first="bofaddin.rtdserver">
      <tp t="s">
        <v>#N/A N/A</v>
        <stp/>
        <stp>BPRICE|10971465073332338253</stp>
        <tr r="AB54" s="41"/>
      </tp>
      <tp t="s">
        <v>#N/A N/A</v>
        <stp/>
        <stp>BPRICE|16496656552911072606</stp>
        <tr r="AB34" s="41"/>
      </tp>
      <tp t="s">
        <v>#N/A N/A</v>
        <stp/>
        <stp>BPRICE|15225594619910077338</stp>
        <tr r="AB27" s="41"/>
      </tp>
      <tp t="s">
        <v>#N/A N/A</v>
        <stp/>
        <stp>BPRICE|16644151812241748515</stp>
        <tr r="AB32" s="41"/>
      </tp>
      <tp t="s">
        <v>#N/A N/A</v>
        <stp/>
        <stp>BPRICE|15928505474800701605</stp>
        <tr r="AB18" s="41"/>
      </tp>
    </main>
    <main first="bofaddin.rtdserver">
      <tp t="s">
        <v>#N/A N/A</v>
        <stp/>
        <stp>BPRICE|12170453260784833473</stp>
        <tr r="AB70" s="41"/>
      </tp>
      <tp t="s">
        <v>#N/A N/A</v>
        <stp/>
        <stp>BPRICE|18095906609365439425</stp>
        <tr r="AB7" s="41"/>
      </tp>
      <tp t="s">
        <v>#N/A N/A</v>
        <stp/>
        <stp>BPRICE|14948086453446509776</stp>
        <tr r="AB9" s="41"/>
      </tp>
    </main>
    <main first="bofaddin.rtdserver">
      <tp>
        <v>2.95</v>
        <stp/>
        <stp>BDP|6969106021270993581|22</stp>
        <stp>EUSA4 Curncy</stp>
        <stp>RQ005</stp>
        <tr r="D4" s="40"/>
      </tp>
      <tp>
        <v>2.8525</v>
        <stp/>
        <stp>BDP|3994967344587835333|22</stp>
        <stp>EUSA9 Curncy</stp>
        <stp>RQ005</stp>
        <tr r="I4" s="40"/>
      </tp>
    </main>
    <main first="bofaddin.rtdserver">
      <tp>
        <v>3.0459999999999998</v>
        <stp/>
        <stp>BDP|4793355686919728672|22</stp>
        <stp>EUSA3 Curncy</stp>
        <stp>RQ005</stp>
        <tr r="C4" s="40"/>
      </tp>
    </main>
    <main first="bofaddin.rtdserver">
      <tp t="s">
        <v>#N/A N/A</v>
        <stp/>
        <stp>BSTRUCTURE|6076051278914027359</stp>
        <tr r="P12" s="41"/>
      </tp>
      <tp t="s">
        <v>#N/A N/A</v>
        <stp/>
        <stp>BSTRUCTURE|4115926875914411835</stp>
        <tr r="P78" s="41"/>
      </tp>
      <tp t="s">
        <v>#N/A N/A</v>
        <stp/>
        <stp>BSTRUCTURE|2715074867541091320</stp>
        <tr r="P76" s="41"/>
      </tp>
      <tp t="s">
        <v>#N/A N/A</v>
        <stp/>
        <stp>BSTRUCTURE|3303732006223408081</stp>
        <tr r="P10" s="41"/>
      </tp>
      <tp t="s">
        <v>#N/A N/A</v>
        <stp/>
        <stp>BSTRUCTURE|2808293408060014736</stp>
        <tr r="P5" s="41"/>
      </tp>
      <tp t="s">
        <v>#N/A N/A</v>
        <stp/>
        <stp>BSTRUCTURE|5460352036047236519</stp>
        <tr r="P11" s="41"/>
      </tp>
      <tp>
        <v>2.8496000000000001</v>
        <stp/>
        <stp>BDP|13221084793960641280|22</stp>
        <stp>EUSA8 Curncy</stp>
        <stp>RQ005</stp>
        <tr r="H4" s="40"/>
      </tp>
      <tp t="s">
        <v>#N/A N/A</v>
        <stp/>
        <stp>BSTRUCTURE|6139142964217682281</stp>
        <tr r="P20" s="41"/>
      </tp>
      <tp t="s">
        <v>#N/A N/A</v>
        <stp/>
        <stp>BSTRUCTURE|4987630228156531293</stp>
        <tr r="P77" s="41"/>
      </tp>
      <tp t="s">
        <v>#N/A N/A</v>
        <stp/>
        <stp>BSTRUCTURE|6388966514603909956</stp>
        <tr r="P44" s="41"/>
      </tp>
      <tp t="s">
        <v>#N/A N/A</v>
        <stp/>
        <stp>BSTRUCTURE|6758094966891532596</stp>
        <tr r="P29" s="41"/>
      </tp>
      <tp t="s">
        <v>#N/A N/A</v>
        <stp/>
        <stp>BPRICE|881650437153454377</stp>
        <tr r="AB35" s="41"/>
      </tp>
      <tp t="s">
        <v>#N/A N/A</v>
        <stp/>
        <stp>BSTRUCTURE|7911947434299152112</stp>
        <tr r="P70" s="41"/>
      </tp>
      <tp t="s">
        <v>#N/A N/A</v>
        <stp/>
        <stp>BSTRUCTURE|5354944103520283942</stp>
        <tr r="P32" s="41"/>
      </tp>
      <tp t="s">
        <v>#N/A N/A</v>
        <stp/>
        <stp>BSTRUCTURE|8941343834039005483</stp>
        <tr r="P46" s="41"/>
      </tp>
      <tp t="s">
        <v>#N/A N/A</v>
        <stp/>
        <stp>BSTRUCTURE|5642065577165035213</stp>
        <tr r="P43" s="41"/>
      </tp>
      <tp t="s">
        <v>#N/A N/A</v>
        <stp/>
        <stp>BSTRUCTURE|4173264375052478152</stp>
        <tr r="P19" s="41"/>
      </tp>
      <tp t="s">
        <v>#N/A N/A</v>
        <stp/>
        <stp>BSTRUCTURE|1583500414211299630</stp>
        <tr r="P49" s="41"/>
      </tp>
      <tp t="s">
        <v>#N/A N/A</v>
        <stp/>
        <stp>BSTRUCTURE|3912221910627868575</stp>
        <tr r="P51" s="41"/>
      </tp>
      <tp t="s">
        <v>#N/A N/A</v>
        <stp/>
        <stp>BPRICE|510884593266853471</stp>
        <tr r="AB8" s="41"/>
      </tp>
      <tp t="s">
        <v>#N/A N/A</v>
        <stp/>
        <stp>BPRICE|310758223527555037</stp>
        <tr r="AB64" s="41"/>
      </tp>
    </main>
    <main first="bofaddin.rtdserver">
      <tp t="s">
        <v>#N/A N/A</v>
        <stp/>
        <stp>BPRICE|501165623981220338</stp>
        <tr r="AB5" s="41"/>
      </tp>
      <tp>
        <v>2.8666999999999998</v>
        <stp/>
        <stp>BDP|16592052299634761475|22</stp>
        <stp>EUSA6 Curncy</stp>
        <stp>RQ005</stp>
        <tr r="F4" s="40"/>
      </tp>
      <tp>
        <v>3.5364</v>
        <stp/>
        <stp>BDP|15339846994974129320|22</stp>
        <stp>EUSA1 Curncy</stp>
        <stp>RQ005</stp>
        <tr r="A4" s="40"/>
      </tp>
      <tp t="s">
        <v>#N/A N/A</v>
        <stp/>
        <stp>BSTRUCTURE|2364588278851681088</stp>
        <tr r="P55" s="41"/>
      </tp>
      <tp t="s">
        <v>#N/A N/A</v>
        <stp/>
        <stp>BSTRUCTURE|7753148460376977786</stp>
        <tr r="P54" s="41"/>
      </tp>
      <tp t="s">
        <v>#N/A N/A</v>
        <stp/>
        <stp>BSTRUCTURE|5335780456642565488</stp>
        <tr r="P34" s="41"/>
      </tp>
      <tp t="s">
        <v>#N/A N/A</v>
        <stp/>
        <stp>BSTRUCTURE|1368444471718939400</stp>
        <tr r="P23" s="41"/>
      </tp>
      <tp t="s">
        <v>#N/A N/A</v>
        <stp/>
        <stp>BSTRUCTURE|8446767119898228888</stp>
        <tr r="P42" s="41"/>
      </tp>
      <tp t="s">
        <v>#N/A N/A</v>
        <stp/>
        <stp>BPRICE|436736553449058476</stp>
        <tr r="AB36" s="41"/>
      </tp>
      <tp t="s">
        <v>#N/A N/A</v>
        <stp/>
        <stp>BSTRUCTURE|4936706692601978411</stp>
        <tr r="P66" s="41"/>
      </tp>
      <tp t="s">
        <v>#N/A N/A</v>
        <stp/>
        <stp>BSTRUCTURE|2214758976716955879</stp>
        <tr r="P75" s="41"/>
      </tp>
      <tp t="s">
        <v>#N/A N/A</v>
        <stp/>
        <stp>BSTRUCTURE|5687002380119641834</stp>
        <tr r="P60" s="41"/>
      </tp>
      <tp t="s">
        <v>#N/A N/A</v>
        <stp/>
        <stp>BSTRUCTURE|7397800240210195712</stp>
        <tr r="P64" s="41"/>
      </tp>
      <tp t="s">
        <v>#N/A N/A</v>
        <stp/>
        <stp>BVIEW|23945361528820607</stp>
        <tr r="S44" s="41"/>
      </tp>
      <tp t="s">
        <v>#N/A N/A</v>
        <stp/>
        <stp>BSTRUCTURE|4204248083547593517</stp>
        <tr r="P24" s="41"/>
      </tp>
      <tp>
        <v>2.8523000000000001</v>
        <stp/>
        <stp>BDP|15241254743677534380|22</stp>
        <stp>EUSA7 Curncy</stp>
        <stp>RQ005</stp>
        <tr r="G4" s="40"/>
      </tp>
      <tp t="s">
        <v>#N/A N/A</v>
        <stp/>
        <stp>BSTRUCTURE|3252620774050891880</stp>
        <tr r="P41" s="41"/>
      </tp>
      <tp t="s">
        <v>#N/A N/A</v>
        <stp/>
        <stp>BSTRUCTURE|7451528485411201098</stp>
        <tr r="P61" s="41"/>
      </tp>
      <tp t="s">
        <v>#N/A N/A</v>
        <stp/>
        <stp>BSTRUCTURE|7784893522496702092</stp>
        <tr r="P21" s="41"/>
      </tp>
      <tp t="s">
        <v>#N/A N/A</v>
        <stp/>
        <stp>BSTRUCTURE|6212535759659022493</stp>
        <tr r="P28" s="41"/>
      </tp>
      <tp t="s">
        <v>#N/A N/A</v>
        <stp/>
        <stp>BSTRUCTURE|6861273986000190428</stp>
        <tr r="P14" s="41"/>
      </tp>
      <tp t="s">
        <v>#N/A N/A</v>
        <stp/>
        <stp>BSTRUCTURE|2784439432455084879</stp>
        <tr r="P6" s="41"/>
      </tp>
      <tp t="s">
        <v>#N/A N/A</v>
        <stp/>
        <stp>BSTRUCTURE|1699451799623295673</stp>
        <tr r="P40" s="41"/>
      </tp>
      <tp t="s">
        <v>#N/A N/A</v>
        <stp/>
        <stp>BSTRUCTURE|3850376673999774789</stp>
        <tr r="P57" s="41"/>
      </tp>
      <tp>
        <v>3.214</v>
        <stp/>
        <stp>BDP|91785229135356813|22</stp>
        <stp>EUSA2 Curncy</stp>
        <stp>RQ005</stp>
        <tr r="B4" s="40"/>
      </tp>
      <tp t="s">
        <v>#N/A N/A</v>
        <stp/>
        <stp>BSTRUCTURE|18005743769567023578</stp>
        <tr r="P45" s="41"/>
      </tp>
      <tp t="s">
        <v>#N/A N/A</v>
        <stp/>
        <stp>BSTRUCTURE|12109941110165882564</stp>
        <tr r="P47" s="41"/>
      </tp>
      <tp t="s">
        <v>#N/A N/A</v>
        <stp/>
        <stp>BSTRUCTURE|12366502581461592444</stp>
        <tr r="P8" s="41"/>
      </tp>
      <tp t="s">
        <v>#N/A N/A</v>
        <stp/>
        <stp>BVIEW|631699315277551628</stp>
        <tr r="S14" s="41"/>
      </tp>
      <tp t="s">
        <v>#N/A N/A</v>
        <stp/>
        <stp>BSTRUCTURE|16591148428535615833</stp>
        <tr r="P31" s="41"/>
      </tp>
      <tp t="s">
        <v>#N/A N/A</v>
        <stp/>
        <stp>BSTRUCTURE|13085640861058037322</stp>
        <tr r="P30" s="41"/>
      </tp>
      <tp t="s">
        <v>#N/A N/A</v>
        <stp/>
        <stp>BSTRUCTURE|18356223685958033202</stp>
        <tr r="P53" s="41"/>
      </tp>
      <tp t="s">
        <v>#N/A N/A</v>
        <stp/>
        <stp>BSTRUCTURE|12036168963250327868</stp>
        <tr r="P27" s="41"/>
      </tp>
      <tp t="s">
        <v>#N/A N/A</v>
        <stp/>
        <stp>BSTRUCTURE|17367813130933914334</stp>
        <tr r="P18" s="41"/>
      </tp>
    </main>
    <main first="bofaddin.rtdserver">
      <tp t="s">
        <v>#N/A N/A</v>
        <stp/>
        <stp>BSTRUCTURE|10404913433630061961</stp>
        <tr r="P13" s="41"/>
      </tp>
      <tp t="s">
        <v>#N/A N/A</v>
        <stp/>
        <stp>BSTRUCTURE|14296650257063384748</stp>
        <tr r="P79" s="41"/>
      </tp>
      <tp t="s">
        <v>#N/A N/A</v>
        <stp/>
        <stp>BVIEW|831770856207780976</stp>
        <tr r="S18" s="41"/>
      </tp>
      <tp t="s">
        <v>#N/A N/A</v>
        <stp/>
        <stp>BSTRUCTURE|16299992597083500424</stp>
        <tr r="P39" s="41"/>
      </tp>
      <tp t="s">
        <v>#N/A N/A</v>
        <stp/>
        <stp>BSTRUCTURE|14776298821001903454</stp>
        <tr r="P25" s="41"/>
      </tp>
      <tp t="s">
        <v>#N/A N/A</v>
        <stp/>
        <stp>BSTRUCTURE|15411728422256630709</stp>
        <tr r="P7" s="41"/>
      </tp>
      <tp t="s">
        <v>#N/A N/A</v>
        <stp/>
        <stp>BVIEW|787956130602768687</stp>
        <tr r="R47" s="41"/>
      </tp>
      <tp t="s">
        <v>#N/A N/A</v>
        <stp/>
        <stp>BSTRUCTURE|14919410057707295294</stp>
        <tr r="P59" s="41"/>
      </tp>
      <tp t="s">
        <v>#N/A N/A</v>
        <stp/>
        <stp>BVIEW|156871617183887554</stp>
        <tr r="Q44" s="41"/>
      </tp>
      <tp t="s">
        <v>#N/A N/A</v>
        <stp/>
        <stp>BSTRUCTURE|14639496056926203403</stp>
        <tr r="P48" s="41"/>
      </tp>
      <tp t="s">
        <v>#N/A N/A</v>
        <stp/>
        <stp>BSTRUCTURE|13679123961495464681</stp>
        <tr r="P56" s="41"/>
      </tp>
      <tp t="s">
        <v>#N/A N/A</v>
        <stp/>
        <stp>BSTRUCTURE|13722172244096577722</stp>
        <tr r="P35" s="41"/>
      </tp>
      <tp t="s">
        <v>#N/A N/A</v>
        <stp/>
        <stp>BSTRUCTURE|15238172045362168535</stp>
        <tr r="P50" s="41"/>
      </tp>
      <tp t="s">
        <v>#N/A N/A</v>
        <stp/>
        <stp>BSTRUCTURE|16197709171239036935</stp>
        <tr r="P22" s="41"/>
      </tp>
      <tp t="s">
        <v>#N/A N/A</v>
        <stp/>
        <stp>BSTRUCTURE|16739610109640950673</stp>
        <tr r="P33" s="41"/>
      </tp>
      <tp t="s">
        <v>#N/A N/A</v>
        <stp/>
        <stp>BVIEW|633893451971473525</stp>
        <tr r="Q21" s="41"/>
      </tp>
      <tp t="s">
        <v>#N/A N/A</v>
        <stp/>
        <stp>BSTRUCTURE|12696834812076778888</stp>
        <tr r="P36" s="41"/>
      </tp>
      <tp t="s">
        <v>#N/A N/A</v>
        <stp/>
        <stp>BSTRUCTURE|13926118550567563534</stp>
        <tr r="P26" s="41"/>
      </tp>
      <tp t="s">
        <v>#N/A N/A</v>
        <stp/>
        <stp>BSTRUCTURE|17265571384719581663</stp>
        <tr r="P58" s="41"/>
      </tp>
      <tp t="s">
        <v>#N/A N/A</v>
        <stp/>
        <stp>BSTRUCTURE|15283740078162508357</stp>
        <tr r="P9" s="41"/>
      </tp>
      <tp t="s">
        <v>#N/A N/A</v>
        <stp/>
        <stp>BSTRUCTURE|17354610397734549816</stp>
        <tr r="P38" s="41"/>
      </tp>
      <tp t="s">
        <v>#N/A N/A</v>
        <stp/>
        <stp>BVIEW|464578415387799808</stp>
        <tr r="Q65" s="41"/>
      </tp>
      <tp>
        <v>2.8690000000000002</v>
        <stp/>
        <stp>BDP|7008110457382658141|22</stp>
        <stp>EUSA17 Curncy</stp>
        <stp>RQ005</stp>
        <tr r="Q4" s="40"/>
      </tp>
      <tp>
        <v>2.8593000000000002</v>
        <stp/>
        <stp>BDP|3739170876265789565|22</stp>
        <stp>EUSA10 Curncy</stp>
        <stp>RQ005</stp>
        <tr r="J4" s="40"/>
      </tp>
      <tp>
        <v>2.7894999999999999</v>
        <stp/>
        <stp>BDP|6049295235637935606|22</stp>
        <stp>EUSA21 Curncy</stp>
        <stp>RQ005</stp>
        <tr r="U4" s="40"/>
      </tp>
      <tp>
        <v>2.8119999999999998</v>
        <stp/>
        <stp>BDP|7582492737999347237|22</stp>
        <stp>EUSA20 Curncy</stp>
        <stp>RQ005</stp>
        <tr r="T4" s="40"/>
      </tp>
      <tp>
        <v>2.7425000000000002</v>
        <stp/>
        <stp>BDP|2045043483384761318|22</stp>
        <stp>EUSA23 Curncy</stp>
        <stp>RQ005</stp>
        <tr r="W4" s="40"/>
      </tp>
      <tp>
        <v>2.8763000000000001</v>
        <stp/>
        <stp>BDP|1940658166729038092|22</stp>
        <stp>EUSA12 Curncy</stp>
        <stp>RQ005</stp>
        <tr r="L4" s="40"/>
      </tp>
      <tp>
        <v>2.6709000000000001</v>
        <stp/>
        <stp>BDP|6096669641274741467|22</stp>
        <stp>EUSA26 Curncy</stp>
        <stp>RQ005</stp>
        <tr r="Z4" s="40"/>
      </tp>
      <tp>
        <v>2.8872</v>
        <stp/>
        <stp>BDP|8960676237748402219|22</stp>
        <stp>EUSA15 Curncy</stp>
        <stp>RQ005</stp>
        <tr r="O4" s="40"/>
      </tp>
      <tp>
        <v>2.8527999999999998</v>
        <stp/>
        <stp>BDP|1282524279913980951|22</stp>
        <stp>EUSA18 Curncy</stp>
        <stp>RQ005</stp>
        <tr r="R4" s="40"/>
      </tp>
      <tp>
        <v>2.8809999999999998</v>
        <stp/>
        <stp>BDP|4812639009921630474|22</stp>
        <stp>EUSA16 Curncy</stp>
        <stp>RQ005</stp>
        <tr r="P4" s="40"/>
      </tp>
      <tp>
        <v>2.7665000000000002</v>
        <stp/>
        <stp>BDP|5019900861137903186|22</stp>
        <stp>EUSA22 Curncy</stp>
        <stp>RQ005</stp>
        <tr r="V4" s="40"/>
      </tp>
      <tp>
        <v>2.8336000000000001</v>
        <stp/>
        <stp>BDP|7413265076340605047|22</stp>
        <stp>EUSA19 Curncy</stp>
        <stp>RQ005</stp>
        <tr r="S4" s="40"/>
      </tp>
      <tp t="s">
        <v>#N/A N/A</v>
        <stp/>
        <stp>BPRICE|3580677993115904513</stp>
        <tr r="AB6" s="41"/>
      </tp>
      <tp t="s">
        <v>#N/A N/A</v>
        <stp/>
        <stp>BPRICE|8652852048468170092</stp>
        <tr r="AB60" s="41"/>
      </tp>
      <tp t="s">
        <v>#N/A N/A</v>
        <stp/>
        <stp>BVIEW|12540873094945431689</stp>
        <tr r="S59" s="41"/>
      </tp>
      <tp t="s">
        <v>#N/A N/A</v>
        <stp/>
        <stp>BVIEW|17279102558761258212</stp>
        <tr r="R34" s="41"/>
      </tp>
      <tp t="s">
        <v>#N/A N/A</v>
        <stp/>
        <stp>BVIEW|13887358454681030412</stp>
        <tr r="Q27" s="41"/>
      </tp>
      <tp t="s">
        <v>#N/A N/A</v>
        <stp/>
        <stp>BVIEW|12255547536543935763</stp>
        <tr r="Q59" s="41"/>
      </tp>
      <tp t="s">
        <v>#N/A N/A</v>
        <stp/>
        <stp>BPRICE|1886463696907346656</stp>
        <tr r="AB41" s="41"/>
      </tp>
      <tp t="s">
        <v>#N/A N/A</v>
        <stp/>
        <stp>BPRICE|8798272544977829465</stp>
        <tr r="AB12" s="41"/>
      </tp>
      <tp t="s">
        <v>#N/A N/A</v>
        <stp/>
        <stp>BPRICE|1417573681265163454</stp>
        <tr r="AB53" s="41"/>
      </tp>
      <tp t="s">
        <v>#N/A N/A</v>
        <stp/>
        <stp>BPRICE|7156886129522063241</stp>
        <tr r="AB14" s="41"/>
      </tp>
      <tp t="s">
        <v>#N/A N/A</v>
        <stp/>
        <stp>BPRICE|5871370203682787994</stp>
        <tr r="AB43" s="41"/>
      </tp>
    </main>
    <main first="bofaddin.rtdserver">
      <tp t="s">
        <v>#N/A N/A</v>
        <stp/>
        <stp>BVIEW|14371724175237631287</stp>
        <tr r="Q18" s="41"/>
      </tp>
      <tp t="s">
        <v>#N/A N/A</v>
        <stp/>
        <stp>BVIEW|11047580107366080307</stp>
        <tr r="S40" s="41"/>
      </tp>
      <tp t="s">
        <v>#N/A N/A</v>
        <stp/>
        <stp>BVIEW|16077632305898928934</stp>
        <tr r="R38" s="41"/>
      </tp>
      <tp t="s">
        <v>#N/A N/A</v>
        <stp/>
        <stp>BVIEW|12377597202922815401</stp>
        <tr r="Q54" s="41"/>
      </tp>
      <tp t="s">
        <v>#N/A N/A</v>
        <stp/>
        <stp>BVIEW|17424729371776150011</stp>
        <tr r="R51" s="41"/>
      </tp>
      <tp t="s">
        <v>#N/A N/A</v>
        <stp/>
        <stp>BPRICE|2736108095812990653</stp>
        <tr r="AB47" s="41"/>
      </tp>
      <tp t="s">
        <v>#N/A N/A</v>
        <stp/>
        <stp>BVIEW|17406832158509032134</stp>
        <tr r="R46" s="41"/>
      </tp>
      <tp t="s">
        <v>#N/A N/A</v>
        <stp/>
        <stp>BVIEW|10875199342091689650</stp>
        <tr r="R40" s="41"/>
      </tp>
      <tp t="s">
        <v>#N/A N/A</v>
        <stp/>
        <stp>BVIEW|11015474077666180675</stp>
        <tr r="S58" s="41"/>
      </tp>
      <tp t="s">
        <v>#N/A N/A</v>
        <stp/>
        <stp>BVIEW|10800638270046847563</stp>
        <tr r="R36" s="41"/>
      </tp>
      <tp t="s">
        <v>#N/A N/A</v>
        <stp/>
        <stp>BPRICE|9902222799668099593</stp>
        <tr r="AB46" s="41"/>
      </tp>
      <tp t="s">
        <v>#N/A N/A</v>
        <stp/>
        <stp>BPRICE|1551144259108459284</stp>
        <tr r="AB30" s="41"/>
      </tp>
      <tp t="s">
        <v>#N/A N/A</v>
        <stp/>
        <stp>BPRICE|3064806133665525264</stp>
        <tr r="AB58" s="41"/>
      </tp>
      <tp t="s">
        <v>#N/A N/A</v>
        <stp/>
        <stp>BVIEW|14967041265081274008</stp>
        <tr r="Q9" s="41"/>
      </tp>
      <tp t="s">
        <v>#N/A N/A</v>
        <stp/>
        <stp>BVIEW|17274284214965078273</stp>
        <tr r="Q46" s="41"/>
      </tp>
      <tp t="s">
        <v>#N/A N/A</v>
        <stp/>
        <stp>BVIEW|12107623615093798524</stp>
        <tr r="R31" s="41"/>
      </tp>
      <tp t="s">
        <v>#N/A N/A</v>
        <stp/>
        <stp>BVIEW|17875663684243097990</stp>
        <tr r="S46" s="41"/>
      </tp>
      <tp t="s">
        <v>#N/A N/A</v>
        <stp/>
        <stp>BVIEW|14574144716464407370</stp>
        <tr r="S41" s="41"/>
      </tp>
      <tp t="s">
        <v>#N/A N/A</v>
        <stp/>
        <stp>BPRICE|3827381448908375461</stp>
        <tr r="AB50" s="41"/>
      </tp>
      <tp t="s">
        <v>#N/A N/A</v>
        <stp/>
        <stp>BVIEW|18058416686451823142</stp>
        <tr r="S6" s="41"/>
      </tp>
      <tp t="s">
        <v>#N/A N/A</v>
        <stp/>
        <stp>BVIEW|16096092716461691234</stp>
        <tr r="R56" s="41"/>
      </tp>
      <tp t="s">
        <v>#N/A N/A</v>
        <stp/>
        <stp>BVIEW|17981817686891257258</stp>
        <tr r="Q40" s="41"/>
      </tp>
      <tp t="s">
        <v>#N/A N/A</v>
        <stp/>
        <stp>BVIEW|12633368568274915799</stp>
        <tr r="S31" s="41"/>
      </tp>
      <tp t="s">
        <v>#N/A N/A</v>
        <stp/>
        <stp>BVIEW|16104794534961419779</stp>
        <tr r="S48" s="41"/>
      </tp>
      <tp t="s">
        <v>#N/A N/A</v>
        <stp/>
        <stp>BVIEW|15813283267631549429</stp>
        <tr r="Q39" s="41"/>
      </tp>
      <tp t="s">
        <v>#N/A N/A</v>
        <stp/>
        <stp>BPRICE|1583601727189548595</stp>
        <tr r="AB55" s="41"/>
      </tp>
      <tp t="s">
        <v>#N/A N/A</v>
        <stp/>
        <stp>BPRICE|4523859369490819382</stp>
        <tr r="AB51" s="41"/>
      </tp>
      <tp t="s">
        <v>#N/A N/A</v>
        <stp/>
        <stp>BPRICE|7680978540107089491</stp>
        <tr r="AB23" s="41"/>
      </tp>
      <tp t="s">
        <v>#N/A N/A</v>
        <stp/>
        <stp>BPRICE|8506114791151280804</stp>
        <tr r="AB42" s="41"/>
      </tp>
    </main>
    <main first="bofaddin.rtdserver">
      <tp t="s">
        <v>#N/A N/A</v>
        <stp/>
        <stp>BVIEW|13995051741804239656</stp>
        <tr r="S19" s="41"/>
      </tp>
      <tp t="s">
        <v>#N/A N/A</v>
        <stp/>
        <stp>BVIEW|10791468793609639151</stp>
        <tr r="R5" s="41"/>
      </tp>
      <tp t="s">
        <v>#N/A N/A</v>
        <stp/>
        <stp>BVIEW|17188867606123019914</stp>
        <tr r="Q19" s="41"/>
      </tp>
      <tp t="s">
        <v>#N/A N/A</v>
        <stp/>
        <stp>BVIEW|18313114517485301828</stp>
        <tr r="S70" s="41"/>
      </tp>
    </main>
    <main first="bofaddin.rtdserver">
      <tp t="s">
        <v>#N/A N/A</v>
        <stp/>
        <stp>BVIEW|10787374035220758691</stp>
        <tr r="Q64" s="41"/>
      </tp>
      <tp t="s">
        <v>#N/A N/A</v>
        <stp/>
        <stp>BVIEW|13522703800253687198</stp>
        <tr r="R13" s="41"/>
      </tp>
      <tp t="s">
        <v>#N/A N/A</v>
        <stp/>
        <stp>BVIEW|14853050331822393379</stp>
        <tr r="R42" s="41"/>
      </tp>
      <tp t="s">
        <v>#N/A N/A</v>
        <stp/>
        <stp>BVIEW|15011360478094821398</stp>
        <tr r="R54" s="41"/>
      </tp>
      <tp t="s">
        <v>#N/A N/A</v>
        <stp/>
        <stp>BVIEW|16334617941132287001</stp>
        <tr r="R60" s="41"/>
      </tp>
      <tp t="s">
        <v>#N/A N/A</v>
        <stp/>
        <stp>BVIEW|14031209043275044124</stp>
        <tr r="S29" s="41"/>
      </tp>
      <tp t="s">
        <v>#N/A N/A</v>
        <stp/>
        <stp>BVIEW|12453466760081637732</stp>
        <tr r="S64" s="41"/>
      </tp>
      <tp t="s">
        <v>#N/A N/A</v>
        <stp/>
        <stp>BVIEW|13722207060989517870</stp>
        <tr r="S42" s="41"/>
      </tp>
      <tp t="s">
        <v>#N/A N/A</v>
        <stp/>
        <stp>BVIEW|13821521759836064374</stp>
        <tr r="S33" s="41"/>
      </tp>
      <tp t="s">
        <v>#N/A N/A</v>
        <stp/>
        <stp>BPRICE|2339156199112774369</stp>
        <tr r="AB20" s="41"/>
      </tp>
      <tp t="s">
        <v>#N/A N/A</v>
        <stp/>
        <stp>BPRICE|1467466787146759056</stp>
        <tr r="AB39" s="41"/>
      </tp>
      <tp t="s">
        <v>#N/A N/A</v>
        <stp/>
        <stp>BVIEW|12942923790865901088</stp>
        <tr r="Q61" s="41"/>
      </tp>
      <tp t="s">
        <v>#N/A N/A</v>
        <stp/>
        <stp>BVIEW|11931058342195261733</stp>
        <tr r="Q57" s="41"/>
      </tp>
      <tp t="s">
        <v>#N/A N/A</v>
        <stp/>
        <stp>BVIEW|13271283870605126452</stp>
        <tr r="S61" s="41"/>
      </tp>
      <tp t="s">
        <v>#N/A N/A</v>
        <stp/>
        <stp>BVIEW|13951213421021274574</stp>
        <tr r="S26" s="41"/>
      </tp>
      <tp t="s">
        <v>#N/A N/A</v>
        <stp/>
        <stp>BVIEW|15697001727908232815</stp>
        <tr r="R39" s="41"/>
      </tp>
      <tp t="s">
        <v>#N/A N/A</v>
        <stp/>
        <stp>BVIEW|14085520850071195216</stp>
        <tr r="S45" s="41"/>
      </tp>
      <tp t="s">
        <v>#N/A N/A</v>
        <stp/>
        <stp>BVIEW|14922997422061507961</stp>
        <tr r="R7" s="41"/>
      </tp>
      <tp t="s">
        <v>#N/A N/A</v>
        <stp/>
        <stp>BVIEW|11253754280431354807</stp>
        <tr r="S34" s="41"/>
      </tp>
      <tp t="s">
        <v>#N/A N/A</v>
        <stp/>
        <stp>BPRICE|8653493296522963390</stp>
        <tr r="AB28" s="41"/>
      </tp>
      <tp t="s">
        <v>#N/A N/A</v>
        <stp/>
        <stp>BVIEW|13911605933237760947</stp>
        <tr r="Q33" s="41"/>
      </tp>
      <tp t="s">
        <v>#N/A N/A</v>
        <stp/>
        <stp>BVIEW|10086765108988307720</stp>
        <tr r="Q43" s="41"/>
      </tp>
      <tp t="s">
        <v>#N/A N/A</v>
        <stp/>
        <stp>BVIEW|17151220851951422999</stp>
        <tr r="R33" s="41"/>
      </tp>
      <tp t="s">
        <v>#N/A N/A</v>
        <stp/>
        <stp>BVIEW|15533693467345248877</stp>
        <tr r="R12" s="41"/>
      </tp>
      <tp t="s">
        <v>#N/A N/A</v>
        <stp/>
        <stp>BVIEW|12595304388425715478</stp>
        <tr r="S54" s="41"/>
      </tp>
      <tp t="s">
        <v>#N/A N/A</v>
        <stp/>
        <stp>BVIEW|12288918982289680263</stp>
        <tr r="S60" s="41"/>
      </tp>
      <tp t="s">
        <v>#N/A N/A</v>
        <stp/>
        <stp>BPRICE|5312137622705383675</stp>
        <tr r="AB56" s="41"/>
      </tp>
      <tp t="s">
        <v>#N/A N/A</v>
        <stp/>
        <stp>BVIEW|16737900570093910225</stp>
        <tr r="R64" s="41"/>
      </tp>
      <tp t="s">
        <v>#N/A N/A</v>
        <stp/>
        <stp>BVIEW|18329322739364583514</stp>
        <tr r="Q31" s="41"/>
      </tp>
      <tp t="s">
        <v>#N/A N/A</v>
        <stp/>
        <stp>BVIEW|15940861441746000538</stp>
        <tr r="R35" s="41"/>
      </tp>
      <tp t="s">
        <v>#N/A N/A</v>
        <stp/>
        <stp>BVIEW|10590107772979221502</stp>
        <tr r="S36" s="41"/>
      </tp>
      <tp t="s">
        <v>#N/A N/A</v>
        <stp/>
        <stp>BVIEW|15639025073498779043</stp>
        <tr r="R28" s="41"/>
      </tp>
      <tp t="s">
        <v>#N/A N/A</v>
        <stp/>
        <stp>BPRICE|7356083217498380930</stp>
        <tr r="AB65" s="41"/>
      </tp>
      <tp t="s">
        <v>#N/A N/A</v>
        <stp/>
        <stp>BVIEW|15086932637735986170</stp>
        <tr r="Q45" s="41"/>
      </tp>
      <tp t="s">
        <v>#N/A N/A</v>
        <stp/>
        <stp>BVIEW|17095633760209851554</stp>
        <tr r="R19" s="41"/>
      </tp>
      <tp t="s">
        <v>#N/A N/A</v>
        <stp/>
        <stp>BVIEW|18283118379866579315</stp>
        <tr r="R58" s="41"/>
      </tp>
      <tp t="s">
        <v>#N/A N/A</v>
        <stp/>
        <stp>BVIEW|10652414499731649746</stp>
        <tr r="R48" s="41"/>
      </tp>
      <tp t="s">
        <v>#N/A N/A</v>
        <stp/>
        <stp>BVIEW|14188721145248011452</stp>
        <tr r="Q20" s="41"/>
      </tp>
      <tp t="s">
        <v>#N/A N/A</v>
        <stp/>
        <stp>BVIEW|14099863906464298305</stp>
        <tr r="Q5" s="41"/>
      </tp>
      <tp t="s">
        <v>#N/A N/A</v>
        <stp/>
        <stp>BVIEW|16849697178755805937</stp>
        <tr r="R59" s="41"/>
      </tp>
      <tp t="s">
        <v>#N/A N/A</v>
        <stp/>
        <stp>BVIEW|16039296289905626276</stp>
        <tr r="R65" s="41"/>
      </tp>
      <tp t="s">
        <v>#N/A N/A</v>
        <stp/>
        <stp>BVIEW|15467516676575199970</stp>
        <tr r="Q50" s="41"/>
      </tp>
      <tp t="s">
        <v>#N/A N/A</v>
        <stp/>
        <stp>BPRICE|3487359157184888163</stp>
        <tr r="AB21" s="41"/>
      </tp>
      <tp t="s">
        <v>#N/A N/A</v>
        <stp/>
        <stp>BVIEW|13130562817182648989</stp>
        <tr r="S66" s="41"/>
      </tp>
      <tp t="s">
        <v>#N/A N/A</v>
        <stp/>
        <stp>BVIEW|11629997619465802037</stp>
        <tr r="S27" s="41"/>
      </tp>
      <tp t="s">
        <v>#N/A N/A</v>
        <stp/>
        <stp>BVIEW|11351039976872702825</stp>
        <tr r="R20" s="41"/>
      </tp>
      <tp t="s">
        <v>#N/A N/A</v>
        <stp/>
        <stp>BVIEW|14271875112025556433</stp>
        <tr r="Q48" s="41"/>
      </tp>
      <tp t="s">
        <v>#N/A N/A</v>
        <stp/>
        <stp>BVIEW|14042492796731858426</stp>
        <tr r="Q36" s="41"/>
      </tp>
      <tp t="s">
        <v>#N/A N/A</v>
        <stp/>
        <stp>BVIEW|14521506333177732958</stp>
        <tr r="Q55" s="41"/>
      </tp>
      <tp t="s">
        <v>#N/A N/A</v>
        <stp/>
        <stp>BVIEW|12017994911840665750</stp>
        <tr r="Q32" s="41"/>
      </tp>
      <tp t="s">
        <v>#N/A N/A</v>
        <stp/>
        <stp>BVIEW|13881008686277707177</stp>
        <tr r="Q11" s="41"/>
      </tp>
      <tp t="s">
        <v>#N/A N/A</v>
        <stp/>
        <stp>BVIEW|14612774085354087246</stp>
        <tr r="S7" s="41"/>
      </tp>
      <tp t="s">
        <v>#N/A N/A</v>
        <stp/>
        <stp>BVIEW|11325327879708574095</stp>
        <tr r="S9" s="41"/>
      </tp>
      <tp t="s">
        <v>#N/A N/A</v>
        <stp/>
        <stp>BPRICE|4422961013626605888</stp>
        <tr r="AB11" s="41"/>
      </tp>
      <tp t="s">
        <v>#N/A N/A</v>
        <stp/>
        <stp>BPRICE|5255217964266243598</stp>
        <tr r="AB31" s="41"/>
      </tp>
      <tp t="s">
        <v>#N/A N/A</v>
        <stp/>
        <stp>BPRICE|1611161336409867849</stp>
        <tr r="AB44" s="41"/>
      </tp>
      <tp t="s">
        <v>#N/A N/A</v>
        <stp/>
        <stp>BVIEW|18222119799148310631</stp>
        <tr r="R21" s="41"/>
      </tp>
      <tp t="s">
        <v>#N/A N/A</v>
        <stp/>
        <stp>BVIEW|12529189574612987888</stp>
        <tr r="S65" s="41"/>
      </tp>
      <tp t="s">
        <v>#N/A N/A</v>
        <stp/>
        <stp>BVIEW|17960046894062265248</stp>
        <tr r="R61" s="41"/>
      </tp>
      <tp t="s">
        <v>#N/A N/A</v>
        <stp/>
        <stp>BVIEW|13595553890176660719</stp>
        <tr r="Q23" s="41"/>
      </tp>
      <tp t="s">
        <v>#N/A N/A</v>
        <stp/>
        <stp>BVIEW|17398467956609537104</stp>
        <tr r="R24" s="41"/>
      </tp>
      <tp t="s">
        <v>#N/A N/A</v>
        <stp/>
        <stp>BVIEW|13965273217589839742</stp>
        <tr r="Q66" s="41"/>
      </tp>
      <tp t="s">
        <v>#N/A N/A</v>
        <stp/>
        <stp>BVIEW|12064575560206429961</stp>
        <tr r="S8" s="41"/>
      </tp>
      <tp>
        <v>2.8877000000000002</v>
        <stp/>
        <stp>BDP|662612624722375588|22</stp>
        <stp>EUSA14 Curncy</stp>
        <stp>RQ005</stp>
        <tr r="N4" s="40"/>
      </tp>
      <tp t="s">
        <v>#N/A N/A</v>
        <stp/>
        <stp>BPRICE|3356389923221088012</stp>
        <tr r="AB48" s="41"/>
      </tp>
      <tp t="s">
        <v>#N/A N/A</v>
        <stp/>
        <stp>BPRICE|1017310111677311769</stp>
        <tr r="AB57" s="41"/>
      </tp>
      <tp t="s">
        <v>#N/A N/A</v>
        <stp/>
        <stp>BPRICE|8407113592883382069</stp>
        <tr r="AB38" s="41"/>
      </tp>
      <tp t="s">
        <v>#N/A N/A</v>
        <stp/>
        <stp>BVIEW|13892544963099754633</stp>
        <tr r="Q6" s="41"/>
      </tp>
      <tp t="s">
        <v>#N/A N/A</v>
        <stp/>
        <stp>BVIEW|17399550176692968811</stp>
        <tr r="Q28" s="41"/>
      </tp>
      <tp>
        <v>2.8950999999999998</v>
        <stp/>
        <stp>BDP|343876402730332862|22</stp>
        <stp>EUSA5 Curncy</stp>
        <stp>RQ005</stp>
        <tr r="E4" s="40"/>
      </tp>
      <tp t="s">
        <v>#N/A N/A</v>
        <stp/>
        <stp>BVIEW|13351074291462269719</stp>
        <tr r="Q22" s="41"/>
      </tp>
      <tp t="s">
        <v>#N/A N/A</v>
        <stp/>
        <stp>BVIEW|10948196506919033702</stp>
        <tr r="S11" s="41"/>
      </tp>
      <tp>
        <v>2.694</v>
        <stp/>
        <stp>BDP|11467308828568613081|22</stp>
        <stp>EUSA25 Curncy</stp>
        <stp>RQ005</stp>
        <tr r="Y4" s="40"/>
      </tp>
      <tp t="s">
        <v>#N/A N/A</v>
        <stp/>
        <stp>BVIEW|2714678636296671139</stp>
        <tr r="Q51" s="41"/>
      </tp>
      <tp t="s">
        <v>#N/A N/A</v>
        <stp/>
        <stp>BVIEW|1788254266930492500</stp>
        <tr r="R45" s="41"/>
      </tp>
      <tp t="s">
        <v>#N/A N/A</v>
        <stp/>
        <stp>BVIEW|7476282957322834232</stp>
        <tr r="Q35" s="41"/>
      </tp>
      <tp t="s">
        <v>#N/A N/A</v>
        <stp/>
        <stp>BVIEW|5786331583208620660</stp>
        <tr r="S21" s="41"/>
      </tp>
      <tp t="s">
        <v>#N/A N/A</v>
        <stp/>
        <stp>BVIEW|1167991378607176878</stp>
        <tr r="S35" s="41"/>
      </tp>
      <tp t="s">
        <v>#N/A N/A</v>
        <stp/>
        <stp>BVIEW|5371306337317389220</stp>
        <tr r="R41" s="41"/>
      </tp>
      <tp t="s">
        <v>#N/A N/A</v>
        <stp/>
        <stp>BVIEW|8624186036588413257</stp>
        <tr r="R49" s="41"/>
      </tp>
      <tp t="s">
        <v>#N/A N/A</v>
        <stp/>
        <stp>BVIEW|4408146952868560890</stp>
        <tr r="S28" s="41"/>
      </tp>
      <tp t="s">
        <v>#N/A N/A</v>
        <stp/>
        <stp>BVIEW|8309954156885910156</stp>
        <tr r="S38" s="41"/>
      </tp>
      <tp t="s">
        <v>#N/A N/A</v>
        <stp/>
        <stp>BVIEW|7742433954255188208</stp>
        <tr r="Q58" s="41"/>
      </tp>
      <tp t="s">
        <v>#N/A N/A</v>
        <stp/>
        <stp>BVIEW|2442337105742370247</stp>
        <tr r="S25" s="41"/>
      </tp>
      <tp t="s">
        <v>#N/A N/A</v>
        <stp/>
        <stp>BVIEW|9923848220497590539</stp>
        <tr r="R57" s="41"/>
      </tp>
      <tp t="s">
        <v>#N/A N/A</v>
        <stp/>
        <stp>BVIEW|5053326725047821274</stp>
        <tr r="R25" s="41"/>
      </tp>
      <tp>
        <v>2.5823</v>
        <stp/>
        <stp>BDP|16498612626911496892|22</stp>
        <stp>EUSA30 Curncy</stp>
        <stp>RQ005</stp>
        <tr r="AD4" s="40"/>
      </tp>
      <tp t="b">
        <v>0</v>
        <stp/>
        <stp>BVIEW|2528130703950094171</stp>
        <tr r="Q75" s="41"/>
        <tr r="Q76" s="41"/>
        <tr r="Q77" s="41"/>
        <tr r="Q78" s="41"/>
        <tr r="Q79" s="41"/>
      </tp>
      <tp t="s">
        <v>#N/A N/A</v>
        <stp/>
        <stp>BVIEW|3660711567460338042</stp>
        <tr r="R70" s="41"/>
      </tp>
      <tp t="b">
        <v>0</v>
        <stp/>
        <stp>BVIEW|2913812418938718116</stp>
        <tr r="S75" s="41"/>
        <tr r="S76" s="41"/>
        <tr r="S77" s="41"/>
        <tr r="S78" s="41"/>
        <tr r="S79" s="41"/>
      </tp>
      <tp t="s">
        <v>#N/A N/A</v>
        <stp/>
        <stp>BVIEW|7153805664612719998</stp>
        <tr r="Q14" s="41"/>
      </tp>
      <tp t="s">
        <v>#N/A N/A</v>
        <stp/>
        <stp>BVIEW|3245367432809949817</stp>
        <tr r="R11" s="41"/>
      </tp>
      <tp t="s">
        <v>#N/A N/A</v>
        <stp/>
        <stp>BVIEW|2942205855000130719</stp>
        <tr r="S53" s="41"/>
      </tp>
      <tp t="s">
        <v>#N/A N/A</v>
        <stp/>
        <stp>BVIEW|1150617655062102288</stp>
        <tr r="R22" s="41"/>
      </tp>
      <tp t="s">
        <v>#N/A N/A</v>
        <stp/>
        <stp>BVIEW|7805082650804481482</stp>
        <tr r="Q34" s="41"/>
      </tp>
      <tp>
        <v>2.8837000000000002</v>
        <stp/>
        <stp>BDP|16312500479051959262|22</stp>
        <stp>EUSA13 Curncy</stp>
        <stp>RQ005</stp>
        <tr r="M4" s="40"/>
      </tp>
      <tp t="s">
        <v>#N/A N/A</v>
        <stp/>
        <stp>BVIEW|5672605573286797107</stp>
        <tr r="Q47" s="41"/>
      </tp>
      <tp t="s">
        <v>#N/A N/A</v>
        <stp/>
        <stp>BVIEW|9013639644950277841</stp>
        <tr r="Q56" s="41"/>
      </tp>
      <tp t="s">
        <v>#N/A N/A</v>
        <stp/>
        <stp>BVIEW|9149869346973324528</stp>
        <tr r="S39" s="41"/>
      </tp>
      <tp>
        <v>2.6034999999999999</v>
        <stp/>
        <stp>BDP|15648372311808975858|22</stp>
        <stp>EUSA29 Curncy</stp>
        <stp>RQ005</stp>
        <tr r="AC4" s="40"/>
      </tp>
      <tp t="s">
        <v>#N/A N/A</v>
        <stp/>
        <stp>BVIEW|5516098749857426220</stp>
        <tr r="S30" s="41"/>
      </tp>
      <tp t="s">
        <v>#N/A N/A</v>
        <stp/>
        <stp>BVIEW|4817789113180306668</stp>
        <tr r="R14" s="41"/>
      </tp>
      <tp t="s">
        <v>#N/A N/A</v>
        <stp/>
        <stp>BVIEW|1521264376063656386</stp>
        <tr r="R29" s="41"/>
      </tp>
      <tp t="s">
        <v>#N/A N/A</v>
        <stp/>
        <stp>BVIEW|6201017227508890830</stp>
        <tr r="S12" s="41"/>
      </tp>
      <tp t="s">
        <v>#N/A N/A</v>
        <stp/>
        <stp>BVIEW|8341397290052321467</stp>
        <tr r="S47" s="41"/>
      </tp>
      <tp>
        <v>2.8673000000000002</v>
        <stp/>
        <stp>BDP|15936921468274769672|22</stp>
        <stp>EUSA11 Curncy</stp>
        <stp>RQ005</stp>
        <tr r="K4" s="40"/>
      </tp>
      <tp t="s">
        <v>#N/A N/A</v>
        <stp/>
        <stp>BVIEW|7563537876127350701</stp>
        <tr r="Q25" s="41"/>
      </tp>
      <tp t="s">
        <v>#N/A N/A</v>
        <stp/>
        <stp>BVIEW|3286248249723942319</stp>
        <tr r="S32" s="41"/>
      </tp>
      <tp>
        <v>2.6474000000000002</v>
        <stp/>
        <stp>BDP|13825035803880009788|22</stp>
        <stp>EUSA27 Curncy</stp>
        <stp>RQ005</stp>
        <tr r="AA4" s="40"/>
      </tp>
      <tp t="s">
        <v>#N/A N/A</v>
        <stp/>
        <stp>BVIEW|5122350700710348044</stp>
        <tr r="Q42" s="41"/>
      </tp>
      <tp t="s">
        <v>#N/A N/A</v>
        <stp/>
        <stp>BVIEW|1787746691931102840</stp>
        <tr r="Q8" s="41"/>
      </tp>
      <tp t="s">
        <v>#N/A N/A</v>
        <stp/>
        <stp>BVIEW|2228047822030125610</stp>
        <tr r="R66" s="41"/>
      </tp>
      <tp t="s">
        <v>#N/A N/A</v>
        <stp/>
        <stp>BVIEW|7725538084549985528</stp>
        <tr r="R53" s="41"/>
      </tp>
      <tp t="s">
        <v>#N/A N/A</v>
        <stp/>
        <stp>BVIEW|2809452616035354438</stp>
        <tr r="Q13" s="41"/>
      </tp>
      <tp t="s">
        <v>#N/A N/A</v>
        <stp/>
        <stp>BVIEW|7269887439378268289</stp>
        <tr r="R55" s="41"/>
      </tp>
      <tp t="s">
        <v>#N/A N/A</v>
        <stp/>
        <stp>BVIEW|5056271620065341690</stp>
        <tr r="S10" s="41"/>
      </tp>
      <tp t="s">
        <v>#N/A N/A</v>
        <stp/>
        <stp>BVIEW|8435288044480883956</stp>
        <tr r="Q30" s="41"/>
      </tp>
      <tp t="s">
        <v>#N/A N/A</v>
        <stp/>
        <stp>BVIEW|6307494937570413629</stp>
        <tr r="S23" s="41"/>
      </tp>
      <tp t="s">
        <v>#N/A N/A</v>
        <stp/>
        <stp>BVIEW|6177536638281181604</stp>
        <tr r="S5" s="41"/>
      </tp>
      <tp t="s">
        <v>#N/A N/A</v>
        <stp/>
        <stp>BVIEW|2665503766215863305</stp>
        <tr r="S22" s="41"/>
      </tp>
      <tp t="s">
        <v>#N/A N/A</v>
        <stp/>
        <stp>BVIEW|8417043274750598754</stp>
        <tr r="Q10" s="41"/>
      </tp>
      <tp t="s">
        <v>#N/A N/A</v>
        <stp/>
        <stp>BVIEW|2234506652368274296</stp>
        <tr r="R23" s="41"/>
      </tp>
      <tp t="s">
        <v>#N/A N/A</v>
        <stp/>
        <stp>BVIEW|9653047657967932359</stp>
        <tr r="R9" s="41"/>
      </tp>
      <tp t="s">
        <v>#N/A N/A</v>
        <stp/>
        <stp>BVIEW|9535368614671616295</stp>
        <tr r="Q24" s="41"/>
      </tp>
      <tp t="s">
        <v>#N/A N/A</v>
        <stp/>
        <stp>BVIEW|6723495050509299618</stp>
        <tr r="S50" s="41"/>
      </tp>
      <tp t="s">
        <v>#N/A N/A</v>
        <stp/>
        <stp>BVIEW|1695615610559377659</stp>
        <tr r="Q7" s="41"/>
      </tp>
      <tp t="s">
        <v>#N/A N/A</v>
        <stp/>
        <stp>BVIEW|7857876747934848655</stp>
        <tr r="R8" s="41"/>
      </tp>
      <tp t="s">
        <v>#N/A N/A</v>
        <stp/>
        <stp>BVIEW|9130489078206206560</stp>
        <tr r="Q60" s="41"/>
      </tp>
      <tp t="s">
        <v>#N/A N/A</v>
        <stp/>
        <stp>BVIEW|8875195972756454133</stp>
        <tr r="Q29" s="41"/>
      </tp>
      <tp t="b">
        <v>0</v>
        <stp/>
        <stp>BVIEW|8084114468872651443</stp>
        <tr r="R75" s="41"/>
        <tr r="R76" s="41"/>
        <tr r="R77" s="41"/>
        <tr r="R78" s="41"/>
        <tr r="R79" s="41"/>
      </tp>
      <tp t="s">
        <v>#N/A N/A</v>
        <stp/>
        <stp>BVIEW|1729584557241743976</stp>
        <tr r="R30" s="41"/>
      </tp>
      <tp>
        <v>2.6254</v>
        <stp/>
        <stp>BDP|15136860336160293717|22</stp>
        <stp>EUSA28 Curncy</stp>
        <stp>RQ005</stp>
        <tr r="AB4" s="40"/>
      </tp>
      <tp t="s">
        <v>#N/A N/A</v>
        <stp/>
        <stp>BVIEW|8740928929598319184</stp>
        <tr r="R10" s="41"/>
      </tp>
      <tp t="s">
        <v>#N/A N/A</v>
        <stp/>
        <stp>BVIEW|6742822927480321647</stp>
        <tr r="Q12" s="41"/>
      </tp>
      <tp t="s">
        <v>#N/A N/A</v>
        <stp/>
        <stp>BVIEW|2769528586995861028</stp>
        <tr r="Q70" s="41"/>
      </tp>
      <tp t="s">
        <v>#N/A N/A</v>
        <stp/>
        <stp>BVIEW|7313768063075937919</stp>
        <tr r="R6" s="41"/>
      </tp>
      <tp t="s">
        <v>#N/A N/A</v>
        <stp/>
        <stp>BVIEW|3955636180250520715</stp>
        <tr r="S24" s="41"/>
      </tp>
      <tp t="s">
        <v>#N/A N/A</v>
        <stp/>
        <stp>BVIEW|4173740998090257029</stp>
        <tr r="S55" s="41"/>
      </tp>
      <tp t="s">
        <v>#N/A N/A</v>
        <stp/>
        <stp>BVIEW|8592580158157569424</stp>
        <tr r="S51" s="41"/>
      </tp>
      <tp t="s">
        <v>#N/A N/A</v>
        <stp/>
        <stp>BVIEW|8131016351550989688</stp>
        <tr r="S13" s="41"/>
      </tp>
      <tp t="s">
        <v>#N/A N/A</v>
        <stp/>
        <stp>BVIEW|2206106200100151840</stp>
        <tr r="S56" s="41"/>
      </tp>
    </main>
    <main first="bofaddin.rtdserver">
      <tp t="s">
        <v>#N/A N/A</v>
        <stp/>
        <stp>BVIEW|7548076196900429215</stp>
        <tr r="Q49" s="41"/>
      </tp>
      <tp t="s">
        <v>#N/A N/A</v>
        <stp/>
        <stp>BVIEW|9766400257133620733</stp>
        <tr r="S49" s="41"/>
      </tp>
      <tp t="s">
        <v>#N/A N/A</v>
        <stp/>
        <stp>BVIEW|2214465189370091224</stp>
        <tr r="R44" s="41"/>
      </tp>
      <tp t="s">
        <v>#N/A N/A</v>
        <stp/>
        <stp>BVIEW|7133714191404856161</stp>
        <tr r="S20" s="41"/>
      </tp>
      <tp t="s">
        <v>#N/A N/A</v>
        <stp/>
        <stp>BVIEW|6721456286034886224</stp>
        <tr r="S43" s="41"/>
      </tp>
      <tp t="s">
        <v>#N/A N/A</v>
        <stp/>
        <stp>BVIEW|3856876475708170875</stp>
        <tr r="Q38" s="41"/>
      </tp>
      <tp t="s">
        <v>#N/A N/A</v>
        <stp/>
        <stp>BSTRUCTURE|941445585293462770</stp>
        <tr r="P65" s="41"/>
      </tp>
      <tp t="s">
        <v>#N/A N/A</v>
        <stp/>
        <stp>BVIEW|4920841611273914363</stp>
        <tr r="Q53" s="41"/>
      </tp>
      <tp t="s">
        <v>#N/A N/A</v>
        <stp/>
        <stp>BVIEW|8710261713187873195</stp>
        <tr r="Q26" s="41"/>
      </tp>
      <tp t="s">
        <v>#N/A N/A</v>
        <stp/>
        <stp>BVIEW|5393868118209119885</stp>
        <tr r="R18" s="41"/>
      </tp>
      <tp t="s">
        <v>#N/A N/A</v>
        <stp/>
        <stp>BVIEW|5241349720890399981</stp>
        <tr r="R32" s="41"/>
      </tp>
      <tp>
        <v>2.7183999999999999</v>
        <stp/>
        <stp>BDP|10601537755826270596|22</stp>
        <stp>EUSA24 Curncy</stp>
        <stp>RQ005</stp>
        <tr r="X4" s="40"/>
      </tp>
      <tp t="s">
        <v>#N/A N/A</v>
        <stp/>
        <stp>BVIEW|8540358219696873213</stp>
        <tr r="R27" s="41"/>
      </tp>
      <tp t="s">
        <v>#N/A N/A</v>
        <stp/>
        <stp>BVIEW|6350937457451881581</stp>
        <tr r="Q41" s="41"/>
      </tp>
      <tp t="s">
        <v>#N/A N/A</v>
        <stp/>
        <stp>BVIEW|1446679109578714197</stp>
        <tr r="S57" s="41"/>
      </tp>
      <tp t="s">
        <v>#N/A N/A</v>
        <stp/>
        <stp>BVIEW|8100075766155156553</stp>
        <tr r="R50" s="41"/>
      </tp>
      <tp t="s">
        <v>#N/A N/A</v>
        <stp/>
        <stp>BVIEW|4609992749581024701</stp>
        <tr r="R43" s="41"/>
      </tp>
      <tp t="s">
        <v>#N/A N/A</v>
        <stp/>
        <stp>BVIEW|4616766409865152965</stp>
        <tr r="R26" s="41"/>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volatileDependencies" Target="volatileDependencies.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1</xdr:row>
          <xdr:rowOff>0</xdr:rowOff>
        </xdr:from>
        <xdr:to>
          <xdr:col>9</xdr:col>
          <xdr:colOff>457200</xdr:colOff>
          <xdr:row>2</xdr:row>
          <xdr:rowOff>106680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300-0000013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BE" sz="1100" b="0" i="0" u="none" strike="noStrike" baseline="0">
                  <a:solidFill>
                    <a:srgbClr val="000000"/>
                  </a:solidFill>
                  <a:latin typeface="Calibri"/>
                  <a:cs typeface="Calibri"/>
                </a:rPr>
                <a:t>Reset FX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4</xdr:row>
          <xdr:rowOff>121920</xdr:rowOff>
        </xdr:from>
        <xdr:to>
          <xdr:col>9</xdr:col>
          <xdr:colOff>457200</xdr:colOff>
          <xdr:row>6</xdr:row>
          <xdr:rowOff>38100</xdr:rowOff>
        </xdr:to>
        <xdr:sp macro="" textlink="">
          <xdr:nvSpPr>
            <xdr:cNvPr id="78850" name="Button 2" hidden="1">
              <a:extLst>
                <a:ext uri="{63B3BB69-23CF-44E3-9099-C40C66FF867C}">
                  <a14:compatExt spid="_x0000_s78850"/>
                </a:ext>
                <a:ext uri="{FF2B5EF4-FFF2-40B4-BE49-F238E27FC236}">
                  <a16:creationId xmlns:a16="http://schemas.microsoft.com/office/drawing/2014/main" id="{00000000-0008-0000-0300-0000023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BE" sz="1100" b="0" i="0" u="none" strike="noStrike" baseline="0">
                  <a:solidFill>
                    <a:srgbClr val="000000"/>
                  </a:solidFill>
                  <a:latin typeface="Calibri"/>
                  <a:cs typeface="Calibri"/>
                </a:rPr>
                <a:t>Reset Swap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8</xdr:row>
          <xdr:rowOff>68580</xdr:rowOff>
        </xdr:from>
        <xdr:to>
          <xdr:col>9</xdr:col>
          <xdr:colOff>457200</xdr:colOff>
          <xdr:row>9</xdr:row>
          <xdr:rowOff>175260</xdr:rowOff>
        </xdr:to>
        <xdr:sp macro="" textlink="">
          <xdr:nvSpPr>
            <xdr:cNvPr id="78851" name="Button 3" hidden="1">
              <a:extLst>
                <a:ext uri="{63B3BB69-23CF-44E3-9099-C40C66FF867C}">
                  <a14:compatExt spid="_x0000_s78851"/>
                </a:ext>
                <a:ext uri="{FF2B5EF4-FFF2-40B4-BE49-F238E27FC236}">
                  <a16:creationId xmlns:a16="http://schemas.microsoft.com/office/drawing/2014/main" id="{00000000-0008-0000-0300-0000033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BE" sz="1100" b="0" i="0" u="none" strike="noStrike" baseline="0">
                  <a:solidFill>
                    <a:srgbClr val="000000"/>
                  </a:solidFill>
                  <a:latin typeface="Calibri"/>
                  <a:cs typeface="Calibri"/>
                </a:rPr>
                <a:t>Reset Comdty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12</xdr:row>
          <xdr:rowOff>0</xdr:rowOff>
        </xdr:from>
        <xdr:to>
          <xdr:col>9</xdr:col>
          <xdr:colOff>457200</xdr:colOff>
          <xdr:row>13</xdr:row>
          <xdr:rowOff>106680</xdr:rowOff>
        </xdr:to>
        <xdr:sp macro="" textlink="">
          <xdr:nvSpPr>
            <xdr:cNvPr id="78852" name="Button 4" hidden="1">
              <a:extLst>
                <a:ext uri="{63B3BB69-23CF-44E3-9099-C40C66FF867C}">
                  <a14:compatExt spid="_x0000_s78852"/>
                </a:ext>
                <a:ext uri="{FF2B5EF4-FFF2-40B4-BE49-F238E27FC236}">
                  <a16:creationId xmlns:a16="http://schemas.microsoft.com/office/drawing/2014/main" id="{00000000-0008-0000-0300-0000043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BE" sz="1100" b="0" i="0" u="none" strike="noStrike" baseline="0">
                  <a:solidFill>
                    <a:srgbClr val="000000"/>
                  </a:solidFill>
                  <a:latin typeface="Calibri"/>
                  <a:cs typeface="Calibri"/>
                </a:rPr>
                <a:t>Reset Equity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relan.be\hq\Public\AXA_InvDivDept\676_ETAI\ALM\Projecten\Woonkredieten%20AXA%20Bank\Optiepremies\2024\JUNE\Calcul%20Hedging_Rates_BBG_based_NEW_INCL_SECUR_Factor.xlsm" TargetMode="External"/><Relationship Id="rId1" Type="http://schemas.openxmlformats.org/officeDocument/2006/relationships/externalLinkPath" Target="Calcul%20Hedging_Rates_BBG_based_NEW_INCL_SECUR_Factor.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L:\ALM\Projecten\Woonkredieten%20AXA%20Bank\Optiepremies\2024\FEB\Premium%20formules.xls" TargetMode="External"/><Relationship Id="rId1" Type="http://schemas.openxmlformats.org/officeDocument/2006/relationships/externalLinkPath" Target="file:///L:\ALM\Projecten\Woonkredieten%20AXA%20Bank\Optiepremies\2024\FEB\Premium%20formule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BBG rates"/>
      <sheetName val="Mortgage20Y_111"/>
      <sheetName val="Mortgage15Y_111"/>
      <sheetName val="Mortgage10Y_111"/>
      <sheetName val="Mortgage10Y_555"/>
      <sheetName val="Mortgage15Y_555"/>
      <sheetName val="Mortgage20Y_555"/>
      <sheetName val="Mortgage25Y_555"/>
      <sheetName val="Mortgage25Y_1055"/>
      <sheetName val="Mortgage25Y_2055"/>
      <sheetName val="MortgageFix5Y"/>
      <sheetName val="MortgageFix10Y"/>
      <sheetName val="MortgageFix13Y"/>
      <sheetName val="MortgageFix15Y"/>
      <sheetName val="MortgageFix18Y"/>
      <sheetName val="MortgageFix20Y"/>
      <sheetName val="MortgageFix25Y"/>
      <sheetName val="MortgageFix30Y"/>
      <sheetName val="Sheet1"/>
    </sheetNames>
    <sheetDataSet>
      <sheetData sheetId="0">
        <row r="11">
          <cell r="J11">
            <v>3.2229999999999999</v>
          </cell>
        </row>
      </sheetData>
      <sheetData sheetId="1">
        <row r="17">
          <cell r="AG17">
            <v>17.614384114493603</v>
          </cell>
        </row>
        <row r="22">
          <cell r="A22">
            <v>1</v>
          </cell>
          <cell r="B22">
            <v>0.5</v>
          </cell>
          <cell r="C22">
            <v>0.25</v>
          </cell>
          <cell r="D22">
            <v>8.3333333333333329E-2</v>
          </cell>
          <cell r="E22">
            <v>9956691.787997935</v>
          </cell>
        </row>
        <row r="23">
          <cell r="A23">
            <v>2</v>
          </cell>
          <cell r="B23">
            <v>1</v>
          </cell>
          <cell r="C23">
            <v>0.5</v>
          </cell>
          <cell r="D23">
            <v>0.16666666666666666</v>
          </cell>
          <cell r="E23">
            <v>9913407.0602996517</v>
          </cell>
        </row>
        <row r="24">
          <cell r="A24">
            <v>3</v>
          </cell>
          <cell r="B24">
            <v>1.5</v>
          </cell>
          <cell r="C24">
            <v>0.75</v>
          </cell>
          <cell r="D24">
            <v>0.25</v>
          </cell>
          <cell r="E24">
            <v>9870145.6919712014</v>
          </cell>
        </row>
        <row r="25">
          <cell r="A25">
            <v>4</v>
          </cell>
          <cell r="B25">
            <v>2</v>
          </cell>
          <cell r="C25">
            <v>1</v>
          </cell>
          <cell r="D25">
            <v>0.33333333333333331</v>
          </cell>
          <cell r="E25">
            <v>9826907.558130499</v>
          </cell>
        </row>
        <row r="26">
          <cell r="A26">
            <v>5</v>
          </cell>
          <cell r="B26">
            <v>2.5</v>
          </cell>
          <cell r="C26">
            <v>1.25</v>
          </cell>
          <cell r="D26">
            <v>0.41666666666666669</v>
          </cell>
          <cell r="E26">
            <v>9783692.5339469593</v>
          </cell>
        </row>
        <row r="27">
          <cell r="A27">
            <v>6</v>
          </cell>
          <cell r="B27">
            <v>3</v>
          </cell>
          <cell r="C27">
            <v>1.5</v>
          </cell>
          <cell r="D27">
            <v>0.5</v>
          </cell>
          <cell r="E27">
            <v>9740500.4946411364</v>
          </cell>
        </row>
        <row r="28">
          <cell r="A28">
            <v>7</v>
          </cell>
          <cell r="B28">
            <v>3.5</v>
          </cell>
          <cell r="C28">
            <v>1.75</v>
          </cell>
          <cell r="D28">
            <v>0.58333333333333337</v>
          </cell>
          <cell r="E28">
            <v>9697331.3154843599</v>
          </cell>
        </row>
        <row r="29">
          <cell r="A29">
            <v>8</v>
          </cell>
          <cell r="B29">
            <v>4</v>
          </cell>
          <cell r="C29">
            <v>2</v>
          </cell>
          <cell r="D29">
            <v>0.66666666666666663</v>
          </cell>
          <cell r="E29">
            <v>9654184.87179837</v>
          </cell>
        </row>
        <row r="30">
          <cell r="A30">
            <v>9</v>
          </cell>
          <cell r="B30">
            <v>4.5</v>
          </cell>
          <cell r="C30">
            <v>2.25</v>
          </cell>
          <cell r="D30">
            <v>0.75</v>
          </cell>
          <cell r="E30">
            <v>9611061.0389549583</v>
          </cell>
        </row>
        <row r="31">
          <cell r="A31">
            <v>10</v>
          </cell>
          <cell r="B31">
            <v>5</v>
          </cell>
          <cell r="C31">
            <v>2.5</v>
          </cell>
          <cell r="D31">
            <v>0.83333333333333337</v>
          </cell>
          <cell r="E31">
            <v>9567959.6923756059</v>
          </cell>
        </row>
        <row r="32">
          <cell r="A32">
            <v>11</v>
          </cell>
          <cell r="B32">
            <v>5.5</v>
          </cell>
          <cell r="C32">
            <v>2.75</v>
          </cell>
          <cell r="D32">
            <v>0.91666666666666663</v>
          </cell>
          <cell r="E32">
            <v>9524880.7075311188</v>
          </cell>
        </row>
        <row r="33">
          <cell r="A33">
            <v>12</v>
          </cell>
          <cell r="B33">
            <v>6</v>
          </cell>
          <cell r="C33">
            <v>3</v>
          </cell>
          <cell r="D33">
            <v>1</v>
          </cell>
          <cell r="E33">
            <v>9481823.9599412717</v>
          </cell>
        </row>
        <row r="34">
          <cell r="A34">
            <v>13</v>
          </cell>
          <cell r="B34">
            <v>6.5</v>
          </cell>
          <cell r="C34">
            <v>3.25</v>
          </cell>
          <cell r="D34">
            <v>1.0833333333333333</v>
          </cell>
          <cell r="E34">
            <v>9438789.325174436</v>
          </cell>
        </row>
        <row r="35">
          <cell r="A35">
            <v>14</v>
          </cell>
          <cell r="B35">
            <v>7</v>
          </cell>
          <cell r="C35">
            <v>3.5</v>
          </cell>
          <cell r="D35">
            <v>1.1666666666666667</v>
          </cell>
          <cell r="E35">
            <v>9395776.6788472291</v>
          </cell>
        </row>
        <row r="36">
          <cell r="A36">
            <v>15</v>
          </cell>
          <cell r="B36">
            <v>7.5</v>
          </cell>
          <cell r="C36">
            <v>3.75</v>
          </cell>
          <cell r="D36">
            <v>1.25</v>
          </cell>
          <cell r="E36">
            <v>9352785.896624146</v>
          </cell>
        </row>
        <row r="37">
          <cell r="A37">
            <v>16</v>
          </cell>
          <cell r="B37">
            <v>8</v>
          </cell>
          <cell r="C37">
            <v>4</v>
          </cell>
          <cell r="D37">
            <v>1.3333333333333333</v>
          </cell>
          <cell r="E37">
            <v>9309816.8542171996</v>
          </cell>
        </row>
        <row r="38">
          <cell r="A38">
            <v>17</v>
          </cell>
          <cell r="B38">
            <v>8.5</v>
          </cell>
          <cell r="C38">
            <v>4.25</v>
          </cell>
          <cell r="D38">
            <v>1.4166666666666667</v>
          </cell>
          <cell r="E38">
            <v>9266869.4273855574</v>
          </cell>
        </row>
        <row r="39">
          <cell r="A39">
            <v>18</v>
          </cell>
          <cell r="B39">
            <v>9</v>
          </cell>
          <cell r="C39">
            <v>4.5</v>
          </cell>
          <cell r="D39">
            <v>1.5</v>
          </cell>
          <cell r="E39">
            <v>9223943.4919351824</v>
          </cell>
        </row>
        <row r="40">
          <cell r="A40">
            <v>19</v>
          </cell>
          <cell r="B40">
            <v>9.5</v>
          </cell>
          <cell r="C40">
            <v>4.75</v>
          </cell>
          <cell r="D40">
            <v>1.5833333333333333</v>
          </cell>
          <cell r="E40">
            <v>9181038.9237184711</v>
          </cell>
        </row>
        <row r="41">
          <cell r="A41">
            <v>20</v>
          </cell>
          <cell r="B41">
            <v>10</v>
          </cell>
          <cell r="C41">
            <v>5</v>
          </cell>
          <cell r="D41">
            <v>1.6666666666666667</v>
          </cell>
          <cell r="E41">
            <v>9138155.5986338947</v>
          </cell>
        </row>
        <row r="42">
          <cell r="A42">
            <v>21</v>
          </cell>
          <cell r="B42">
            <v>10.5</v>
          </cell>
          <cell r="C42">
            <v>5.25</v>
          </cell>
          <cell r="D42">
            <v>1.75</v>
          </cell>
          <cell r="E42">
            <v>9095293.3926256318</v>
          </cell>
        </row>
        <row r="43">
          <cell r="A43">
            <v>22</v>
          </cell>
          <cell r="B43">
            <v>11</v>
          </cell>
          <cell r="C43">
            <v>5.5</v>
          </cell>
          <cell r="D43">
            <v>1.8333333333333333</v>
          </cell>
          <cell r="E43">
            <v>9052452.1816832125</v>
          </cell>
        </row>
        <row r="44">
          <cell r="A44">
            <v>23</v>
          </cell>
          <cell r="B44">
            <v>11.5</v>
          </cell>
          <cell r="C44">
            <v>5.75</v>
          </cell>
          <cell r="D44">
            <v>1.9166666666666667</v>
          </cell>
          <cell r="E44">
            <v>9009631.8418411557</v>
          </cell>
        </row>
        <row r="45">
          <cell r="A45">
            <v>24</v>
          </cell>
          <cell r="B45">
            <v>12</v>
          </cell>
          <cell r="C45">
            <v>6</v>
          </cell>
          <cell r="D45">
            <v>2</v>
          </cell>
          <cell r="E45">
            <v>8966832.2491786107</v>
          </cell>
        </row>
        <row r="46">
          <cell r="A46">
            <v>25</v>
          </cell>
          <cell r="B46">
            <v>12.5</v>
          </cell>
          <cell r="C46">
            <v>6.25</v>
          </cell>
          <cell r="D46">
            <v>2.0833333333333335</v>
          </cell>
          <cell r="E46">
            <v>8924053.2798189893</v>
          </cell>
        </row>
        <row r="47">
          <cell r="A47">
            <v>26</v>
          </cell>
          <cell r="B47">
            <v>13</v>
          </cell>
          <cell r="C47">
            <v>6.5</v>
          </cell>
          <cell r="D47">
            <v>2.1666666666666665</v>
          </cell>
          <cell r="E47">
            <v>8881294.809929613</v>
          </cell>
        </row>
        <row r="48">
          <cell r="A48">
            <v>27</v>
          </cell>
          <cell r="B48">
            <v>13.5</v>
          </cell>
          <cell r="C48">
            <v>6.75</v>
          </cell>
          <cell r="D48">
            <v>2.25</v>
          </cell>
          <cell r="E48">
            <v>8838556.7157213502</v>
          </cell>
        </row>
        <row r="49">
          <cell r="A49">
            <v>28</v>
          </cell>
          <cell r="B49">
            <v>14</v>
          </cell>
          <cell r="C49">
            <v>7</v>
          </cell>
          <cell r="D49">
            <v>2.3333333333333335</v>
          </cell>
          <cell r="E49">
            <v>8795838.8734482545</v>
          </cell>
        </row>
        <row r="50">
          <cell r="A50">
            <v>29</v>
          </cell>
          <cell r="B50">
            <v>14.5</v>
          </cell>
          <cell r="C50">
            <v>7.25</v>
          </cell>
          <cell r="D50">
            <v>2.4166666666666665</v>
          </cell>
          <cell r="E50">
            <v>8753141.1594072022</v>
          </cell>
        </row>
        <row r="51">
          <cell r="A51">
            <v>30</v>
          </cell>
          <cell r="B51">
            <v>15</v>
          </cell>
          <cell r="C51">
            <v>7.5</v>
          </cell>
          <cell r="D51">
            <v>2.5</v>
          </cell>
          <cell r="E51">
            <v>8710463.4499375373</v>
          </cell>
        </row>
        <row r="52">
          <cell r="A52">
            <v>31</v>
          </cell>
          <cell r="B52">
            <v>15.5</v>
          </cell>
          <cell r="C52">
            <v>7.75</v>
          </cell>
          <cell r="D52">
            <v>2.5833333333333335</v>
          </cell>
          <cell r="E52">
            <v>8667805.6214207038</v>
          </cell>
        </row>
        <row r="53">
          <cell r="A53">
            <v>32</v>
          </cell>
          <cell r="B53">
            <v>16</v>
          </cell>
          <cell r="C53">
            <v>8</v>
          </cell>
          <cell r="D53">
            <v>2.6666666666666665</v>
          </cell>
          <cell r="E53">
            <v>8625167.550279893</v>
          </cell>
        </row>
        <row r="54">
          <cell r="A54">
            <v>33</v>
          </cell>
          <cell r="B54">
            <v>16.5</v>
          </cell>
          <cell r="C54">
            <v>8.25</v>
          </cell>
          <cell r="D54">
            <v>2.75</v>
          </cell>
          <cell r="E54">
            <v>8582549.1129796784</v>
          </cell>
        </row>
        <row r="55">
          <cell r="A55">
            <v>34</v>
          </cell>
          <cell r="B55">
            <v>17</v>
          </cell>
          <cell r="C55">
            <v>8.5</v>
          </cell>
          <cell r="D55">
            <v>2.8333333333333335</v>
          </cell>
          <cell r="E55">
            <v>8539950.1860256568</v>
          </cell>
        </row>
        <row r="56">
          <cell r="A56">
            <v>35</v>
          </cell>
          <cell r="B56">
            <v>17.5</v>
          </cell>
          <cell r="C56">
            <v>8.75</v>
          </cell>
          <cell r="D56">
            <v>2.9166666666666665</v>
          </cell>
          <cell r="E56">
            <v>8497370.6459640898</v>
          </cell>
        </row>
        <row r="57">
          <cell r="A57">
            <v>36</v>
          </cell>
          <cell r="B57">
            <v>18</v>
          </cell>
          <cell r="C57">
            <v>9</v>
          </cell>
          <cell r="D57">
            <v>3</v>
          </cell>
          <cell r="E57">
            <v>8454810.3693815414</v>
          </cell>
        </row>
        <row r="58">
          <cell r="A58">
            <v>37</v>
          </cell>
          <cell r="B58">
            <v>18.5</v>
          </cell>
          <cell r="C58">
            <v>9.25</v>
          </cell>
          <cell r="D58">
            <v>3.0833333333333335</v>
          </cell>
          <cell r="E58">
            <v>8412269.2329045217</v>
          </cell>
        </row>
        <row r="59">
          <cell r="A59">
            <v>38</v>
          </cell>
          <cell r="B59">
            <v>19</v>
          </cell>
          <cell r="C59">
            <v>9.5</v>
          </cell>
          <cell r="D59">
            <v>3.1666666666666665</v>
          </cell>
          <cell r="E59">
            <v>8369747.1131991195</v>
          </cell>
        </row>
        <row r="60">
          <cell r="A60">
            <v>39</v>
          </cell>
          <cell r="B60">
            <v>19.5</v>
          </cell>
          <cell r="C60">
            <v>9.75</v>
          </cell>
          <cell r="D60">
            <v>3.25</v>
          </cell>
          <cell r="E60">
            <v>8327243.8869706513</v>
          </cell>
        </row>
        <row r="61">
          <cell r="A61">
            <v>40</v>
          </cell>
          <cell r="B61">
            <v>20</v>
          </cell>
          <cell r="C61">
            <v>10</v>
          </cell>
          <cell r="D61">
            <v>3.3333333333333335</v>
          </cell>
          <cell r="E61">
            <v>8284759.4309632992</v>
          </cell>
        </row>
        <row r="62">
          <cell r="A62">
            <v>41</v>
          </cell>
          <cell r="B62">
            <v>20.5</v>
          </cell>
          <cell r="C62">
            <v>10.25</v>
          </cell>
          <cell r="D62">
            <v>3.4166666666666665</v>
          </cell>
          <cell r="E62">
            <v>8242293.6219597468</v>
          </cell>
        </row>
        <row r="63">
          <cell r="A63">
            <v>42</v>
          </cell>
          <cell r="B63">
            <v>21</v>
          </cell>
          <cell r="C63">
            <v>10.5</v>
          </cell>
          <cell r="D63">
            <v>3.5</v>
          </cell>
          <cell r="E63">
            <v>8199846.3367808256</v>
          </cell>
        </row>
        <row r="64">
          <cell r="A64">
            <v>43</v>
          </cell>
          <cell r="B64">
            <v>21.5</v>
          </cell>
          <cell r="C64">
            <v>10.75</v>
          </cell>
          <cell r="D64">
            <v>3.5833333333333335</v>
          </cell>
          <cell r="E64">
            <v>8157417.4522851501</v>
          </cell>
        </row>
        <row r="65">
          <cell r="A65">
            <v>44</v>
          </cell>
          <cell r="B65">
            <v>22</v>
          </cell>
          <cell r="C65">
            <v>11</v>
          </cell>
          <cell r="D65">
            <v>3.6666666666666665</v>
          </cell>
          <cell r="E65">
            <v>8115006.8453687625</v>
          </cell>
        </row>
        <row r="66">
          <cell r="A66">
            <v>45</v>
          </cell>
          <cell r="B66">
            <v>22.5</v>
          </cell>
          <cell r="C66">
            <v>11.25</v>
          </cell>
          <cell r="D66">
            <v>3.75</v>
          </cell>
          <cell r="E66">
            <v>8072614.392964771</v>
          </cell>
        </row>
        <row r="67">
          <cell r="A67">
            <v>46</v>
          </cell>
          <cell r="B67">
            <v>23</v>
          </cell>
          <cell r="C67">
            <v>11.5</v>
          </cell>
          <cell r="D67">
            <v>3.8333333333333335</v>
          </cell>
          <cell r="E67">
            <v>8030239.9720429918</v>
          </cell>
        </row>
        <row r="68">
          <cell r="A68">
            <v>47</v>
          </cell>
          <cell r="B68">
            <v>23.5</v>
          </cell>
          <cell r="C68">
            <v>11.75</v>
          </cell>
          <cell r="D68">
            <v>3.9166666666666665</v>
          </cell>
          <cell r="E68">
            <v>7987883.4596095905</v>
          </cell>
        </row>
        <row r="69">
          <cell r="A69">
            <v>48</v>
          </cell>
          <cell r="B69">
            <v>24</v>
          </cell>
          <cell r="C69">
            <v>12</v>
          </cell>
          <cell r="D69">
            <v>4</v>
          </cell>
          <cell r="E69">
            <v>7945544.7327067191</v>
          </cell>
        </row>
        <row r="70">
          <cell r="A70">
            <v>49</v>
          </cell>
          <cell r="B70">
            <v>24.5</v>
          </cell>
          <cell r="C70">
            <v>12.25</v>
          </cell>
          <cell r="D70">
            <v>4.083333333333333</v>
          </cell>
          <cell r="E70">
            <v>7903223.6684121611</v>
          </cell>
        </row>
        <row r="71">
          <cell r="A71">
            <v>50</v>
          </cell>
          <cell r="B71">
            <v>25</v>
          </cell>
          <cell r="C71">
            <v>12.5</v>
          </cell>
          <cell r="D71">
            <v>4.166666666666667</v>
          </cell>
          <cell r="E71">
            <v>7860920.14383897</v>
          </cell>
        </row>
        <row r="72">
          <cell r="A72">
            <v>51</v>
          </cell>
          <cell r="B72">
            <v>25.5</v>
          </cell>
          <cell r="C72">
            <v>12.75</v>
          </cell>
          <cell r="D72">
            <v>4.25</v>
          </cell>
          <cell r="E72">
            <v>7818634.0361351119</v>
          </cell>
        </row>
        <row r="73">
          <cell r="A73">
            <v>52</v>
          </cell>
          <cell r="B73">
            <v>26</v>
          </cell>
          <cell r="C73">
            <v>13</v>
          </cell>
          <cell r="D73">
            <v>4.333333333333333</v>
          </cell>
          <cell r="E73">
            <v>7776365.222483105</v>
          </cell>
        </row>
        <row r="74">
          <cell r="A74">
            <v>53</v>
          </cell>
          <cell r="B74">
            <v>26.5</v>
          </cell>
          <cell r="C74">
            <v>13.25</v>
          </cell>
          <cell r="D74">
            <v>4.416666666666667</v>
          </cell>
          <cell r="E74">
            <v>7734113.58009966</v>
          </cell>
        </row>
        <row r="75">
          <cell r="A75">
            <v>54</v>
          </cell>
          <cell r="B75">
            <v>27</v>
          </cell>
          <cell r="C75">
            <v>13.5</v>
          </cell>
          <cell r="D75">
            <v>4.5</v>
          </cell>
          <cell r="E75">
            <v>7691878.9862353243</v>
          </cell>
        </row>
        <row r="76">
          <cell r="A76">
            <v>55</v>
          </cell>
          <cell r="B76">
            <v>27.5</v>
          </cell>
          <cell r="C76">
            <v>13.75</v>
          </cell>
          <cell r="D76">
            <v>4.583333333333333</v>
          </cell>
          <cell r="E76">
            <v>7649661.318174121</v>
          </cell>
        </row>
        <row r="77">
          <cell r="A77">
            <v>56</v>
          </cell>
          <cell r="B77">
            <v>28</v>
          </cell>
          <cell r="C77">
            <v>14</v>
          </cell>
          <cell r="D77">
            <v>4.666666666666667</v>
          </cell>
          <cell r="E77">
            <v>7607460.4532331889</v>
          </cell>
        </row>
        <row r="78">
          <cell r="A78">
            <v>57</v>
          </cell>
          <cell r="B78">
            <v>28.5</v>
          </cell>
          <cell r="C78">
            <v>14.25</v>
          </cell>
          <cell r="D78">
            <v>4.75</v>
          </cell>
          <cell r="E78">
            <v>7565276.2687624274</v>
          </cell>
        </row>
        <row r="79">
          <cell r="A79">
            <v>58</v>
          </cell>
          <cell r="B79">
            <v>29</v>
          </cell>
          <cell r="C79">
            <v>14.5</v>
          </cell>
          <cell r="D79">
            <v>4.833333333333333</v>
          </cell>
          <cell r="E79">
            <v>7523108.6421441352</v>
          </cell>
        </row>
        <row r="80">
          <cell r="A80">
            <v>59</v>
          </cell>
          <cell r="B80">
            <v>29.5</v>
          </cell>
          <cell r="C80">
            <v>14.75</v>
          </cell>
          <cell r="D80">
            <v>4.916666666666667</v>
          </cell>
          <cell r="E80">
            <v>7480957.4507926507</v>
          </cell>
        </row>
        <row r="81">
          <cell r="A81">
            <v>60</v>
          </cell>
          <cell r="B81">
            <v>30</v>
          </cell>
          <cell r="C81">
            <v>15</v>
          </cell>
          <cell r="D81">
            <v>5</v>
          </cell>
          <cell r="E81">
            <v>7438822.5721539957</v>
          </cell>
        </row>
        <row r="82">
          <cell r="A82">
            <v>61</v>
          </cell>
          <cell r="B82">
            <v>30.5</v>
          </cell>
          <cell r="C82">
            <v>15.25</v>
          </cell>
          <cell r="D82">
            <v>5.083333333333333</v>
          </cell>
          <cell r="E82">
            <v>7396703.8837055163</v>
          </cell>
        </row>
        <row r="83">
          <cell r="A83">
            <v>62</v>
          </cell>
          <cell r="B83">
            <v>31</v>
          </cell>
          <cell r="C83">
            <v>15.5</v>
          </cell>
          <cell r="D83">
            <v>5.166666666666667</v>
          </cell>
          <cell r="E83">
            <v>7354601.262955524</v>
          </cell>
        </row>
        <row r="84">
          <cell r="A84">
            <v>63</v>
          </cell>
          <cell r="B84">
            <v>31.5</v>
          </cell>
          <cell r="C84">
            <v>15.75</v>
          </cell>
          <cell r="D84">
            <v>5.25</v>
          </cell>
          <cell r="E84">
            <v>7312514.5874429382</v>
          </cell>
        </row>
        <row r="85">
          <cell r="A85">
            <v>64</v>
          </cell>
          <cell r="B85">
            <v>32</v>
          </cell>
          <cell r="C85">
            <v>16</v>
          </cell>
          <cell r="D85">
            <v>5.333333333333333</v>
          </cell>
          <cell r="E85">
            <v>7270443.7347369241</v>
          </cell>
        </row>
        <row r="86">
          <cell r="A86">
            <v>65</v>
          </cell>
          <cell r="B86">
            <v>32.5</v>
          </cell>
          <cell r="C86">
            <v>16.25</v>
          </cell>
          <cell r="D86">
            <v>5.416666666666667</v>
          </cell>
          <cell r="E86">
            <v>7228388.5824365402</v>
          </cell>
        </row>
        <row r="87">
          <cell r="A87">
            <v>66</v>
          </cell>
          <cell r="B87">
            <v>33</v>
          </cell>
          <cell r="C87">
            <v>16.5</v>
          </cell>
          <cell r="D87">
            <v>5.5</v>
          </cell>
          <cell r="E87">
            <v>7186349.0081703747</v>
          </cell>
        </row>
        <row r="88">
          <cell r="A88">
            <v>67</v>
          </cell>
          <cell r="B88">
            <v>33.5</v>
          </cell>
          <cell r="C88">
            <v>16.75</v>
          </cell>
          <cell r="D88">
            <v>5.583333333333333</v>
          </cell>
          <cell r="E88">
            <v>7144324.8895961912</v>
          </cell>
        </row>
        <row r="89">
          <cell r="A89">
            <v>68</v>
          </cell>
          <cell r="B89">
            <v>34</v>
          </cell>
          <cell r="C89">
            <v>17</v>
          </cell>
          <cell r="D89">
            <v>5.666666666666667</v>
          </cell>
          <cell r="E89">
            <v>7102316.1044005668</v>
          </cell>
        </row>
        <row r="90">
          <cell r="A90">
            <v>69</v>
          </cell>
          <cell r="B90">
            <v>34.5</v>
          </cell>
          <cell r="C90">
            <v>17.25</v>
          </cell>
          <cell r="D90">
            <v>5.75</v>
          </cell>
          <cell r="E90">
            <v>7060322.5302985366</v>
          </cell>
        </row>
        <row r="91">
          <cell r="A91">
            <v>70</v>
          </cell>
          <cell r="B91">
            <v>35</v>
          </cell>
          <cell r="C91">
            <v>17.5</v>
          </cell>
          <cell r="D91">
            <v>5.833333333333333</v>
          </cell>
          <cell r="E91">
            <v>7018344.0450332351</v>
          </cell>
        </row>
        <row r="92">
          <cell r="A92">
            <v>71</v>
          </cell>
          <cell r="B92">
            <v>35.5</v>
          </cell>
          <cell r="C92">
            <v>17.75</v>
          </cell>
          <cell r="D92">
            <v>5.916666666666667</v>
          </cell>
          <cell r="E92">
            <v>6976380.526375534</v>
          </cell>
        </row>
        <row r="93">
          <cell r="A93">
            <v>72</v>
          </cell>
          <cell r="B93">
            <v>36</v>
          </cell>
          <cell r="C93">
            <v>18</v>
          </cell>
          <cell r="D93">
            <v>6</v>
          </cell>
          <cell r="E93">
            <v>6934431.8521236926</v>
          </cell>
        </row>
        <row r="94">
          <cell r="A94">
            <v>73</v>
          </cell>
          <cell r="B94">
            <v>36.5</v>
          </cell>
          <cell r="C94">
            <v>18.25</v>
          </cell>
          <cell r="D94">
            <v>6.083333333333333</v>
          </cell>
          <cell r="E94">
            <v>6892497.9001029916</v>
          </cell>
        </row>
        <row r="95">
          <cell r="A95">
            <v>74</v>
          </cell>
          <cell r="B95">
            <v>37</v>
          </cell>
          <cell r="C95">
            <v>18.5</v>
          </cell>
          <cell r="D95">
            <v>6.166666666666667</v>
          </cell>
          <cell r="E95">
            <v>6850578.5481653772</v>
          </cell>
        </row>
        <row r="96">
          <cell r="A96">
            <v>75</v>
          </cell>
          <cell r="B96">
            <v>37.5</v>
          </cell>
          <cell r="C96">
            <v>18.75</v>
          </cell>
          <cell r="D96">
            <v>6.25</v>
          </cell>
          <cell r="E96">
            <v>6808673.6741891056</v>
          </cell>
        </row>
        <row r="97">
          <cell r="A97">
            <v>76</v>
          </cell>
          <cell r="B97">
            <v>38</v>
          </cell>
          <cell r="C97">
            <v>19</v>
          </cell>
          <cell r="D97">
            <v>6.333333333333333</v>
          </cell>
          <cell r="E97">
            <v>6766783.1560783833</v>
          </cell>
        </row>
        <row r="98">
          <cell r="A98">
            <v>77</v>
          </cell>
          <cell r="B98">
            <v>38.5</v>
          </cell>
          <cell r="C98">
            <v>19.25</v>
          </cell>
          <cell r="D98">
            <v>6.416666666666667</v>
          </cell>
          <cell r="E98">
            <v>6724906.8717630077</v>
          </cell>
        </row>
        <row r="99">
          <cell r="A99">
            <v>78</v>
          </cell>
          <cell r="B99">
            <v>39</v>
          </cell>
          <cell r="C99">
            <v>19.5</v>
          </cell>
          <cell r="D99">
            <v>6.5</v>
          </cell>
          <cell r="E99">
            <v>6683044.6991980113</v>
          </cell>
        </row>
        <row r="100">
          <cell r="A100">
            <v>79</v>
          </cell>
          <cell r="B100">
            <v>39.5</v>
          </cell>
          <cell r="C100">
            <v>19.75</v>
          </cell>
          <cell r="D100">
            <v>6.583333333333333</v>
          </cell>
          <cell r="E100">
            <v>6641196.5163633032</v>
          </cell>
        </row>
        <row r="101">
          <cell r="A101">
            <v>80</v>
          </cell>
          <cell r="B101">
            <v>40</v>
          </cell>
          <cell r="C101">
            <v>20</v>
          </cell>
          <cell r="D101">
            <v>6.666666666666667</v>
          </cell>
          <cell r="E101">
            <v>6599362.2012633113</v>
          </cell>
        </row>
        <row r="102">
          <cell r="A102">
            <v>81</v>
          </cell>
          <cell r="B102">
            <v>40.5</v>
          </cell>
          <cell r="C102">
            <v>20.25</v>
          </cell>
          <cell r="D102">
            <v>6.75</v>
          </cell>
          <cell r="E102">
            <v>6557541.6319266213</v>
          </cell>
        </row>
        <row r="103">
          <cell r="A103">
            <v>82</v>
          </cell>
          <cell r="B103">
            <v>41</v>
          </cell>
          <cell r="C103">
            <v>20.5</v>
          </cell>
          <cell r="D103">
            <v>6.833333333333333</v>
          </cell>
          <cell r="E103">
            <v>6515734.6864056261</v>
          </cell>
        </row>
        <row r="104">
          <cell r="A104">
            <v>83</v>
          </cell>
          <cell r="B104">
            <v>41.5</v>
          </cell>
          <cell r="C104">
            <v>20.75</v>
          </cell>
          <cell r="D104">
            <v>6.916666666666667</v>
          </cell>
          <cell r="E104">
            <v>6473941.2427761592</v>
          </cell>
        </row>
        <row r="105">
          <cell r="A105">
            <v>84</v>
          </cell>
          <cell r="B105">
            <v>42</v>
          </cell>
          <cell r="C105">
            <v>21</v>
          </cell>
          <cell r="D105">
            <v>7</v>
          </cell>
          <cell r="E105">
            <v>6432161.1791371433</v>
          </cell>
        </row>
        <row r="106">
          <cell r="A106">
            <v>85</v>
          </cell>
          <cell r="B106">
            <v>42.5</v>
          </cell>
          <cell r="C106">
            <v>21.25</v>
          </cell>
          <cell r="D106">
            <v>7.083333333333333</v>
          </cell>
          <cell r="E106">
            <v>6390394.3736102283</v>
          </cell>
        </row>
        <row r="107">
          <cell r="A107">
            <v>86</v>
          </cell>
          <cell r="B107">
            <v>43</v>
          </cell>
          <cell r="C107">
            <v>21.5</v>
          </cell>
          <cell r="D107">
            <v>7.166666666666667</v>
          </cell>
          <cell r="E107">
            <v>6348640.7043394381</v>
          </cell>
        </row>
        <row r="108">
          <cell r="A108">
            <v>87</v>
          </cell>
          <cell r="B108">
            <v>43.5</v>
          </cell>
          <cell r="C108">
            <v>21.75</v>
          </cell>
          <cell r="D108">
            <v>7.25</v>
          </cell>
          <cell r="E108">
            <v>6306900.0494908085</v>
          </cell>
        </row>
        <row r="109">
          <cell r="A109">
            <v>88</v>
          </cell>
          <cell r="B109">
            <v>44</v>
          </cell>
          <cell r="C109">
            <v>22</v>
          </cell>
          <cell r="D109">
            <v>7.333333333333333</v>
          </cell>
          <cell r="E109">
            <v>6265172.2872520313</v>
          </cell>
        </row>
        <row r="110">
          <cell r="A110">
            <v>89</v>
          </cell>
          <cell r="B110">
            <v>44.5</v>
          </cell>
          <cell r="C110">
            <v>22.25</v>
          </cell>
          <cell r="D110">
            <v>7.416666666666667</v>
          </cell>
          <cell r="E110">
            <v>6223457.2958320975</v>
          </cell>
        </row>
        <row r="111">
          <cell r="A111">
            <v>90</v>
          </cell>
          <cell r="B111">
            <v>45</v>
          </cell>
          <cell r="C111">
            <v>22.5</v>
          </cell>
          <cell r="D111">
            <v>7.5</v>
          </cell>
          <cell r="E111">
            <v>6181754.9534609364</v>
          </cell>
        </row>
        <row r="112">
          <cell r="A112">
            <v>91</v>
          </cell>
          <cell r="B112">
            <v>45.5</v>
          </cell>
          <cell r="C112">
            <v>22.75</v>
          </cell>
          <cell r="D112">
            <v>7.583333333333333</v>
          </cell>
          <cell r="E112">
            <v>6140065.1383890612</v>
          </cell>
        </row>
        <row r="113">
          <cell r="A113">
            <v>92</v>
          </cell>
          <cell r="B113">
            <v>46</v>
          </cell>
          <cell r="C113">
            <v>23</v>
          </cell>
          <cell r="D113">
            <v>7.666666666666667</v>
          </cell>
          <cell r="E113">
            <v>6098387.7288872097</v>
          </cell>
        </row>
        <row r="114">
          <cell r="A114">
            <v>93</v>
          </cell>
          <cell r="B114">
            <v>46.5</v>
          </cell>
          <cell r="C114">
            <v>23.25</v>
          </cell>
          <cell r="D114">
            <v>7.75</v>
          </cell>
          <cell r="E114">
            <v>6056722.6032459876</v>
          </cell>
        </row>
        <row r="115">
          <cell r="A115">
            <v>94</v>
          </cell>
          <cell r="B115">
            <v>47</v>
          </cell>
          <cell r="C115">
            <v>23.5</v>
          </cell>
          <cell r="D115">
            <v>7.833333333333333</v>
          </cell>
          <cell r="E115">
            <v>6015069.639775509</v>
          </cell>
        </row>
        <row r="116">
          <cell r="A116">
            <v>95</v>
          </cell>
          <cell r="B116">
            <v>47.5</v>
          </cell>
          <cell r="C116">
            <v>23.75</v>
          </cell>
          <cell r="D116">
            <v>7.916666666666667</v>
          </cell>
          <cell r="E116">
            <v>5973428.7168050399</v>
          </cell>
        </row>
        <row r="117">
          <cell r="A117">
            <v>96</v>
          </cell>
          <cell r="B117">
            <v>48</v>
          </cell>
          <cell r="C117">
            <v>24</v>
          </cell>
          <cell r="D117">
            <v>8</v>
          </cell>
          <cell r="E117">
            <v>5931799.7126826411</v>
          </cell>
        </row>
        <row r="118">
          <cell r="A118">
            <v>97</v>
          </cell>
          <cell r="B118">
            <v>48.5</v>
          </cell>
          <cell r="C118">
            <v>24.25</v>
          </cell>
          <cell r="D118">
            <v>8.0833333333333339</v>
          </cell>
          <cell r="E118">
            <v>5890182.505774809</v>
          </cell>
        </row>
        <row r="119">
          <cell r="A119">
            <v>98</v>
          </cell>
          <cell r="B119">
            <v>49</v>
          </cell>
          <cell r="C119">
            <v>24.5</v>
          </cell>
          <cell r="D119">
            <v>8.1666666666666661</v>
          </cell>
          <cell r="E119">
            <v>5848576.9744661208</v>
          </cell>
        </row>
        <row r="120">
          <cell r="A120">
            <v>99</v>
          </cell>
          <cell r="B120">
            <v>49.5</v>
          </cell>
          <cell r="C120">
            <v>24.75</v>
          </cell>
          <cell r="D120">
            <v>8.25</v>
          </cell>
          <cell r="E120">
            <v>5806982.997158872</v>
          </cell>
        </row>
        <row r="121">
          <cell r="A121">
            <v>100</v>
          </cell>
          <cell r="B121">
            <v>50</v>
          </cell>
          <cell r="C121">
            <v>25</v>
          </cell>
          <cell r="D121">
            <v>8.3333333333333339</v>
          </cell>
          <cell r="E121">
            <v>5765400.4522727234</v>
          </cell>
        </row>
        <row r="122">
          <cell r="A122">
            <v>101</v>
          </cell>
          <cell r="B122">
            <v>50.5</v>
          </cell>
          <cell r="C122">
            <v>25.25</v>
          </cell>
          <cell r="D122">
            <v>8.4166666666666661</v>
          </cell>
          <cell r="E122">
            <v>5723829.2182443412</v>
          </cell>
        </row>
        <row r="123">
          <cell r="A123">
            <v>102</v>
          </cell>
          <cell r="B123">
            <v>51</v>
          </cell>
          <cell r="C123">
            <v>25.5</v>
          </cell>
          <cell r="D123">
            <v>8.5</v>
          </cell>
          <cell r="E123">
            <v>5682269.1735270396</v>
          </cell>
        </row>
        <row r="124">
          <cell r="A124">
            <v>103</v>
          </cell>
          <cell r="B124">
            <v>51.5</v>
          </cell>
          <cell r="C124">
            <v>25.75</v>
          </cell>
          <cell r="D124">
            <v>8.5833333333333339</v>
          </cell>
          <cell r="E124">
            <v>5640720.1965904227</v>
          </cell>
        </row>
        <row r="125">
          <cell r="A125">
            <v>104</v>
          </cell>
          <cell r="B125">
            <v>52</v>
          </cell>
          <cell r="C125">
            <v>26</v>
          </cell>
          <cell r="D125">
            <v>8.6666666666666661</v>
          </cell>
          <cell r="E125">
            <v>5599182.1659200294</v>
          </cell>
        </row>
        <row r="126">
          <cell r="A126">
            <v>105</v>
          </cell>
          <cell r="B126">
            <v>52.5</v>
          </cell>
          <cell r="C126">
            <v>26.25</v>
          </cell>
          <cell r="D126">
            <v>8.75</v>
          </cell>
          <cell r="E126">
            <v>5557654.9600169724</v>
          </cell>
        </row>
        <row r="127">
          <cell r="A127">
            <v>106</v>
          </cell>
          <cell r="B127">
            <v>53</v>
          </cell>
          <cell r="C127">
            <v>26.5</v>
          </cell>
          <cell r="D127">
            <v>8.8333333333333339</v>
          </cell>
          <cell r="E127">
            <v>5516138.4573975811</v>
          </cell>
        </row>
        <row r="128">
          <cell r="A128">
            <v>107</v>
          </cell>
          <cell r="B128">
            <v>53.5</v>
          </cell>
          <cell r="C128">
            <v>26.75</v>
          </cell>
          <cell r="D128">
            <v>8.9166666666666661</v>
          </cell>
          <cell r="E128">
            <v>5474632.536593047</v>
          </cell>
        </row>
        <row r="129">
          <cell r="A129">
            <v>108</v>
          </cell>
          <cell r="B129">
            <v>54</v>
          </cell>
          <cell r="C129">
            <v>27</v>
          </cell>
          <cell r="D129">
            <v>9</v>
          </cell>
          <cell r="E129">
            <v>5433137.0761490613</v>
          </cell>
        </row>
        <row r="130">
          <cell r="A130">
            <v>109</v>
          </cell>
          <cell r="B130">
            <v>54.5</v>
          </cell>
          <cell r="C130">
            <v>27.25</v>
          </cell>
          <cell r="D130">
            <v>9.0833333333333339</v>
          </cell>
          <cell r="E130">
            <v>5391651.9546254622</v>
          </cell>
        </row>
        <row r="131">
          <cell r="A131">
            <v>110</v>
          </cell>
          <cell r="B131">
            <v>55</v>
          </cell>
          <cell r="C131">
            <v>27.5</v>
          </cell>
          <cell r="D131">
            <v>9.1666666666666661</v>
          </cell>
          <cell r="E131">
            <v>5350177.050595873</v>
          </cell>
        </row>
        <row r="132">
          <cell r="A132">
            <v>111</v>
          </cell>
          <cell r="B132">
            <v>55.5</v>
          </cell>
          <cell r="C132">
            <v>27.75</v>
          </cell>
          <cell r="D132">
            <v>9.25</v>
          </cell>
          <cell r="E132">
            <v>5308712.2426473461</v>
          </cell>
        </row>
        <row r="133">
          <cell r="A133">
            <v>112</v>
          </cell>
          <cell r="B133">
            <v>56</v>
          </cell>
          <cell r="C133">
            <v>28</v>
          </cell>
          <cell r="D133">
            <v>9.3333333333333339</v>
          </cell>
          <cell r="E133">
            <v>5267257.4093800057</v>
          </cell>
        </row>
        <row r="134">
          <cell r="A134">
            <v>113</v>
          </cell>
          <cell r="B134">
            <v>56.5</v>
          </cell>
          <cell r="C134">
            <v>28.25</v>
          </cell>
          <cell r="D134">
            <v>9.4166666666666661</v>
          </cell>
          <cell r="E134">
            <v>5225812.4294066904</v>
          </cell>
        </row>
        <row r="135">
          <cell r="A135">
            <v>114</v>
          </cell>
          <cell r="B135">
            <v>57</v>
          </cell>
          <cell r="C135">
            <v>28.5</v>
          </cell>
          <cell r="D135">
            <v>9.5</v>
          </cell>
          <cell r="E135">
            <v>5184377.1813525939</v>
          </cell>
        </row>
        <row r="136">
          <cell r="A136">
            <v>115</v>
          </cell>
          <cell r="B136">
            <v>57.5</v>
          </cell>
          <cell r="C136">
            <v>28.75</v>
          </cell>
          <cell r="D136">
            <v>9.5833333333333339</v>
          </cell>
          <cell r="E136">
            <v>5142951.5438549081</v>
          </cell>
        </row>
        <row r="137">
          <cell r="A137">
            <v>116</v>
          </cell>
          <cell r="B137">
            <v>58</v>
          </cell>
          <cell r="C137">
            <v>29</v>
          </cell>
          <cell r="D137">
            <v>9.6666666666666661</v>
          </cell>
          <cell r="E137">
            <v>5101535.3955624662</v>
          </cell>
        </row>
        <row r="138">
          <cell r="A138">
            <v>117</v>
          </cell>
          <cell r="B138">
            <v>58.5</v>
          </cell>
          <cell r="C138">
            <v>29.25</v>
          </cell>
          <cell r="D138">
            <v>9.75</v>
          </cell>
          <cell r="E138">
            <v>5060128.6151353819</v>
          </cell>
        </row>
        <row r="139">
          <cell r="A139">
            <v>118</v>
          </cell>
          <cell r="B139">
            <v>59</v>
          </cell>
          <cell r="C139">
            <v>29.5</v>
          </cell>
          <cell r="D139">
            <v>9.8333333333333339</v>
          </cell>
          <cell r="E139">
            <v>5018731.0812446969</v>
          </cell>
        </row>
        <row r="140">
          <cell r="A140">
            <v>119</v>
          </cell>
          <cell r="B140">
            <v>59.5</v>
          </cell>
          <cell r="C140">
            <v>29.75</v>
          </cell>
          <cell r="D140">
            <v>9.9166666666666661</v>
          </cell>
          <cell r="E140">
            <v>4977342.6725720186</v>
          </cell>
        </row>
        <row r="141">
          <cell r="A141">
            <v>120</v>
          </cell>
          <cell r="B141">
            <v>60</v>
          </cell>
          <cell r="C141">
            <v>30</v>
          </cell>
          <cell r="D141">
            <v>10</v>
          </cell>
          <cell r="E141">
            <v>4935963.2678091638</v>
          </cell>
        </row>
        <row r="142">
          <cell r="A142">
            <v>121</v>
          </cell>
          <cell r="B142">
            <v>60.5</v>
          </cell>
          <cell r="C142">
            <v>30.25</v>
          </cell>
          <cell r="D142">
            <v>10.083333333333334</v>
          </cell>
          <cell r="E142">
            <v>4894592.7456577998</v>
          </cell>
        </row>
        <row r="143">
          <cell r="A143">
            <v>122</v>
          </cell>
          <cell r="B143">
            <v>61</v>
          </cell>
          <cell r="C143">
            <v>30.5</v>
          </cell>
          <cell r="D143">
            <v>10.166666666666666</v>
          </cell>
          <cell r="E143">
            <v>4853230.9848290887</v>
          </cell>
        </row>
        <row r="144">
          <cell r="A144">
            <v>123</v>
          </cell>
          <cell r="B144">
            <v>61.5</v>
          </cell>
          <cell r="C144">
            <v>30.75</v>
          </cell>
          <cell r="D144">
            <v>10.25</v>
          </cell>
          <cell r="E144">
            <v>4811877.8640433261</v>
          </cell>
        </row>
        <row r="145">
          <cell r="A145">
            <v>124</v>
          </cell>
          <cell r="B145">
            <v>62</v>
          </cell>
          <cell r="C145">
            <v>31</v>
          </cell>
          <cell r="D145">
            <v>10.333333333333334</v>
          </cell>
          <cell r="E145">
            <v>4770533.2620295892</v>
          </cell>
        </row>
        <row r="146">
          <cell r="A146">
            <v>125</v>
          </cell>
          <cell r="B146">
            <v>62.5</v>
          </cell>
          <cell r="C146">
            <v>31.25</v>
          </cell>
          <cell r="D146">
            <v>10.416666666666666</v>
          </cell>
          <cell r="E146">
            <v>4729197.0575253721</v>
          </cell>
        </row>
        <row r="147">
          <cell r="A147">
            <v>126</v>
          </cell>
          <cell r="B147">
            <v>63</v>
          </cell>
          <cell r="C147">
            <v>31.5</v>
          </cell>
          <cell r="D147">
            <v>10.5</v>
          </cell>
          <cell r="E147">
            <v>4687869.1292762319</v>
          </cell>
        </row>
        <row r="148">
          <cell r="A148">
            <v>127</v>
          </cell>
          <cell r="B148">
            <v>63.5</v>
          </cell>
          <cell r="C148">
            <v>31.75</v>
          </cell>
          <cell r="D148">
            <v>10.583333333333334</v>
          </cell>
          <cell r="E148">
            <v>4646549.3560354291</v>
          </cell>
        </row>
        <row r="149">
          <cell r="A149">
            <v>128</v>
          </cell>
          <cell r="B149">
            <v>64</v>
          </cell>
          <cell r="C149">
            <v>32</v>
          </cell>
          <cell r="D149">
            <v>10.666666666666666</v>
          </cell>
          <cell r="E149">
            <v>4605237.6165635698</v>
          </cell>
        </row>
        <row r="150">
          <cell r="A150">
            <v>129</v>
          </cell>
          <cell r="B150">
            <v>64.5</v>
          </cell>
          <cell r="C150">
            <v>32.25</v>
          </cell>
          <cell r="D150">
            <v>10.75</v>
          </cell>
          <cell r="E150">
            <v>4563933.7896282487</v>
          </cell>
        </row>
        <row r="151">
          <cell r="A151">
            <v>130</v>
          </cell>
          <cell r="B151">
            <v>65</v>
          </cell>
          <cell r="C151">
            <v>32.5</v>
          </cell>
          <cell r="D151">
            <v>10.833333333333334</v>
          </cell>
          <cell r="E151">
            <v>4522637.7540036906</v>
          </cell>
        </row>
        <row r="152">
          <cell r="A152">
            <v>131</v>
          </cell>
          <cell r="B152">
            <v>65.5</v>
          </cell>
          <cell r="C152">
            <v>32.75</v>
          </cell>
          <cell r="D152">
            <v>10.916666666666666</v>
          </cell>
          <cell r="E152">
            <v>4481349.3884703908</v>
          </cell>
        </row>
        <row r="153">
          <cell r="A153">
            <v>132</v>
          </cell>
          <cell r="B153">
            <v>66</v>
          </cell>
          <cell r="C153">
            <v>33</v>
          </cell>
          <cell r="D153">
            <v>11</v>
          </cell>
          <cell r="E153">
            <v>4440068.5718147596</v>
          </cell>
        </row>
        <row r="154">
          <cell r="A154">
            <v>133</v>
          </cell>
          <cell r="B154">
            <v>66.5</v>
          </cell>
          <cell r="C154">
            <v>33.25</v>
          </cell>
          <cell r="D154">
            <v>11.083333333333334</v>
          </cell>
          <cell r="E154">
            <v>4398795.1828287616</v>
          </cell>
        </row>
        <row r="155">
          <cell r="A155">
            <v>134</v>
          </cell>
          <cell r="B155">
            <v>67</v>
          </cell>
          <cell r="C155">
            <v>33.5</v>
          </cell>
          <cell r="D155">
            <v>11.166666666666666</v>
          </cell>
          <cell r="E155">
            <v>4357529.1003095591</v>
          </cell>
        </row>
        <row r="156">
          <cell r="A156">
            <v>135</v>
          </cell>
          <cell r="B156">
            <v>67.5</v>
          </cell>
          <cell r="C156">
            <v>33.75</v>
          </cell>
          <cell r="D156">
            <v>11.25</v>
          </cell>
          <cell r="E156">
            <v>4316270.2030591527</v>
          </cell>
        </row>
        <row r="157">
          <cell r="A157">
            <v>136</v>
          </cell>
          <cell r="B157">
            <v>68</v>
          </cell>
          <cell r="C157">
            <v>34</v>
          </cell>
          <cell r="D157">
            <v>11.333333333333334</v>
          </cell>
          <cell r="E157">
            <v>4275018.3698840262</v>
          </cell>
        </row>
        <row r="158">
          <cell r="A158">
            <v>137</v>
          </cell>
          <cell r="B158">
            <v>68.5</v>
          </cell>
          <cell r="C158">
            <v>34.25</v>
          </cell>
          <cell r="D158">
            <v>11.416666666666666</v>
          </cell>
          <cell r="E158">
            <v>4233773.4795947829</v>
          </cell>
        </row>
        <row r="159">
          <cell r="A159">
            <v>138</v>
          </cell>
          <cell r="B159">
            <v>69</v>
          </cell>
          <cell r="C159">
            <v>34.5</v>
          </cell>
          <cell r="D159">
            <v>11.5</v>
          </cell>
          <cell r="E159">
            <v>4192535.4110057908</v>
          </cell>
        </row>
        <row r="160">
          <cell r="A160">
            <v>139</v>
          </cell>
          <cell r="B160">
            <v>69.5</v>
          </cell>
          <cell r="C160">
            <v>34.75</v>
          </cell>
          <cell r="D160">
            <v>11.583333333333334</v>
          </cell>
          <cell r="E160">
            <v>4151304.0429348247</v>
          </cell>
        </row>
        <row r="161">
          <cell r="A161">
            <v>140</v>
          </cell>
          <cell r="B161">
            <v>70</v>
          </cell>
          <cell r="C161">
            <v>35</v>
          </cell>
          <cell r="D161">
            <v>11.666666666666666</v>
          </cell>
          <cell r="E161">
            <v>4110079.2542027067</v>
          </cell>
        </row>
        <row r="162">
          <cell r="A162">
            <v>141</v>
          </cell>
          <cell r="B162">
            <v>70.5</v>
          </cell>
          <cell r="C162">
            <v>35.25</v>
          </cell>
          <cell r="D162">
            <v>11.75</v>
          </cell>
          <cell r="E162">
            <v>4068860.9236329463</v>
          </cell>
        </row>
        <row r="163">
          <cell r="A163">
            <v>142</v>
          </cell>
          <cell r="B163">
            <v>71</v>
          </cell>
          <cell r="C163">
            <v>35.5</v>
          </cell>
          <cell r="D163">
            <v>11.833333333333334</v>
          </cell>
          <cell r="E163">
            <v>4027648.9300513854</v>
          </cell>
        </row>
        <row r="164">
          <cell r="A164">
            <v>143</v>
          </cell>
          <cell r="B164">
            <v>71.5</v>
          </cell>
          <cell r="C164">
            <v>35.75</v>
          </cell>
          <cell r="D164">
            <v>11.916666666666666</v>
          </cell>
          <cell r="E164">
            <v>3986443.1522858362</v>
          </cell>
        </row>
        <row r="165">
          <cell r="A165">
            <v>144</v>
          </cell>
          <cell r="B165">
            <v>72</v>
          </cell>
          <cell r="C165">
            <v>36</v>
          </cell>
          <cell r="D165">
            <v>12</v>
          </cell>
          <cell r="E165">
            <v>3945243.4691657252</v>
          </cell>
        </row>
        <row r="166">
          <cell r="A166">
            <v>145</v>
          </cell>
          <cell r="B166">
            <v>72.5</v>
          </cell>
          <cell r="C166">
            <v>36.25</v>
          </cell>
          <cell r="D166">
            <v>12.083333333333334</v>
          </cell>
          <cell r="E166">
            <v>3904049.7595217321</v>
          </cell>
        </row>
        <row r="167">
          <cell r="A167">
            <v>146</v>
          </cell>
          <cell r="B167">
            <v>73</v>
          </cell>
          <cell r="C167">
            <v>36.5</v>
          </cell>
          <cell r="D167">
            <v>12.166666666666666</v>
          </cell>
          <cell r="E167">
            <v>3862861.9021854345</v>
          </cell>
        </row>
        <row r="168">
          <cell r="A168">
            <v>147</v>
          </cell>
          <cell r="B168">
            <v>73.5</v>
          </cell>
          <cell r="C168">
            <v>36.75</v>
          </cell>
          <cell r="D168">
            <v>12.25</v>
          </cell>
          <cell r="E168">
            <v>3821679.7759889457</v>
          </cell>
        </row>
        <row r="169">
          <cell r="A169">
            <v>148</v>
          </cell>
          <cell r="B169">
            <v>74</v>
          </cell>
          <cell r="C169">
            <v>37</v>
          </cell>
          <cell r="D169">
            <v>12.333333333333334</v>
          </cell>
          <cell r="E169">
            <v>3780503.2597645582</v>
          </cell>
        </row>
        <row r="170">
          <cell r="A170">
            <v>149</v>
          </cell>
          <cell r="B170">
            <v>74.5</v>
          </cell>
          <cell r="C170">
            <v>37.25</v>
          </cell>
          <cell r="D170">
            <v>12.416666666666666</v>
          </cell>
          <cell r="E170">
            <v>3739332.2323443838</v>
          </cell>
        </row>
        <row r="171">
          <cell r="A171">
            <v>150</v>
          </cell>
          <cell r="B171">
            <v>75</v>
          </cell>
          <cell r="C171">
            <v>37.5</v>
          </cell>
          <cell r="D171">
            <v>12.5</v>
          </cell>
          <cell r="E171">
            <v>3698166.5725599956</v>
          </cell>
        </row>
        <row r="172">
          <cell r="A172">
            <v>151</v>
          </cell>
          <cell r="B172">
            <v>75.5</v>
          </cell>
          <cell r="C172">
            <v>37.75</v>
          </cell>
          <cell r="D172">
            <v>12.583333333333334</v>
          </cell>
          <cell r="E172">
            <v>3657006.159242068</v>
          </cell>
        </row>
        <row r="173">
          <cell r="A173">
            <v>152</v>
          </cell>
          <cell r="B173">
            <v>76</v>
          </cell>
          <cell r="C173">
            <v>38</v>
          </cell>
          <cell r="D173">
            <v>12.666666666666666</v>
          </cell>
          <cell r="E173">
            <v>3615850.8712200182</v>
          </cell>
        </row>
        <row r="174">
          <cell r="A174">
            <v>153</v>
          </cell>
          <cell r="B174">
            <v>76.5</v>
          </cell>
          <cell r="C174">
            <v>38.25</v>
          </cell>
          <cell r="D174">
            <v>12.75</v>
          </cell>
          <cell r="E174">
            <v>3574700.5873216484</v>
          </cell>
        </row>
        <row r="175">
          <cell r="A175">
            <v>154</v>
          </cell>
          <cell r="B175">
            <v>77</v>
          </cell>
          <cell r="C175">
            <v>38.5</v>
          </cell>
          <cell r="D175">
            <v>12.833333333333334</v>
          </cell>
          <cell r="E175">
            <v>3533555.186372784</v>
          </cell>
        </row>
        <row r="176">
          <cell r="A176">
            <v>155</v>
          </cell>
          <cell r="B176">
            <v>77.5</v>
          </cell>
          <cell r="C176">
            <v>38.75</v>
          </cell>
          <cell r="D176">
            <v>12.916666666666666</v>
          </cell>
          <cell r="E176">
            <v>3492414.5471969177</v>
          </cell>
        </row>
        <row r="177">
          <cell r="A177">
            <v>156</v>
          </cell>
          <cell r="B177">
            <v>78</v>
          </cell>
          <cell r="C177">
            <v>39</v>
          </cell>
          <cell r="D177">
            <v>13</v>
          </cell>
          <cell r="E177">
            <v>3451278.548614847</v>
          </cell>
        </row>
        <row r="178">
          <cell r="A178">
            <v>157</v>
          </cell>
          <cell r="B178">
            <v>78.5</v>
          </cell>
          <cell r="C178">
            <v>39.25</v>
          </cell>
          <cell r="D178">
            <v>13.083333333333334</v>
          </cell>
          <cell r="E178">
            <v>3410147.0694443178</v>
          </cell>
        </row>
        <row r="179">
          <cell r="A179">
            <v>158</v>
          </cell>
          <cell r="B179">
            <v>79</v>
          </cell>
          <cell r="C179">
            <v>39.5</v>
          </cell>
          <cell r="D179">
            <v>13.166666666666666</v>
          </cell>
          <cell r="E179">
            <v>3369019.9884996642</v>
          </cell>
        </row>
        <row r="180">
          <cell r="A180">
            <v>159</v>
          </cell>
          <cell r="B180">
            <v>79.5</v>
          </cell>
          <cell r="C180">
            <v>39.75</v>
          </cell>
          <cell r="D180">
            <v>13.25</v>
          </cell>
          <cell r="E180">
            <v>3327897.1845914475</v>
          </cell>
        </row>
        <row r="181">
          <cell r="A181">
            <v>160</v>
          </cell>
          <cell r="B181">
            <v>80</v>
          </cell>
          <cell r="C181">
            <v>40</v>
          </cell>
          <cell r="D181">
            <v>13.333333333333334</v>
          </cell>
          <cell r="E181">
            <v>3286778.5365260993</v>
          </cell>
        </row>
        <row r="182">
          <cell r="A182">
            <v>161</v>
          </cell>
          <cell r="B182">
            <v>80.5</v>
          </cell>
          <cell r="C182">
            <v>40.25</v>
          </cell>
          <cell r="D182">
            <v>13.416666666666666</v>
          </cell>
          <cell r="E182">
            <v>3245663.9231055598</v>
          </cell>
        </row>
        <row r="183">
          <cell r="A183">
            <v>162</v>
          </cell>
          <cell r="B183">
            <v>81</v>
          </cell>
          <cell r="C183">
            <v>40.5</v>
          </cell>
          <cell r="D183">
            <v>13.5</v>
          </cell>
          <cell r="E183">
            <v>3204553.2231269204</v>
          </cell>
        </row>
        <row r="184">
          <cell r="A184">
            <v>163</v>
          </cell>
          <cell r="B184">
            <v>81.5</v>
          </cell>
          <cell r="C184">
            <v>40.75</v>
          </cell>
          <cell r="D184">
            <v>13.583333333333334</v>
          </cell>
          <cell r="E184">
            <v>3163446.3153820625</v>
          </cell>
        </row>
        <row r="185">
          <cell r="A185">
            <v>164</v>
          </cell>
          <cell r="B185">
            <v>82</v>
          </cell>
          <cell r="C185">
            <v>41</v>
          </cell>
          <cell r="D185">
            <v>13.666666666666666</v>
          </cell>
          <cell r="E185">
            <v>3122343.0786572979</v>
          </cell>
        </row>
        <row r="186">
          <cell r="A186">
            <v>165</v>
          </cell>
          <cell r="B186">
            <v>82.5</v>
          </cell>
          <cell r="C186">
            <v>41.25</v>
          </cell>
          <cell r="D186">
            <v>13.75</v>
          </cell>
          <cell r="E186">
            <v>3081243.3917330098</v>
          </cell>
        </row>
        <row r="187">
          <cell r="A187">
            <v>166</v>
          </cell>
          <cell r="B187">
            <v>83</v>
          </cell>
          <cell r="C187">
            <v>41.5</v>
          </cell>
          <cell r="D187">
            <v>13.833333333333334</v>
          </cell>
          <cell r="E187">
            <v>3040147.1333832927</v>
          </cell>
        </row>
        <row r="188">
          <cell r="A188">
            <v>167</v>
          </cell>
          <cell r="B188">
            <v>83.5</v>
          </cell>
          <cell r="C188">
            <v>41.75</v>
          </cell>
          <cell r="D188">
            <v>13.916666666666666</v>
          </cell>
          <cell r="E188">
            <v>2999054.1823755917</v>
          </cell>
        </row>
        <row r="189">
          <cell r="A189">
            <v>168</v>
          </cell>
          <cell r="B189">
            <v>84</v>
          </cell>
          <cell r="C189">
            <v>42</v>
          </cell>
          <cell r="D189">
            <v>14</v>
          </cell>
          <cell r="E189">
            <v>2957964.4174703448</v>
          </cell>
        </row>
        <row r="190">
          <cell r="A190">
            <v>169</v>
          </cell>
          <cell r="B190">
            <v>84.5</v>
          </cell>
          <cell r="C190">
            <v>42.25</v>
          </cell>
          <cell r="D190">
            <v>14.083333333333334</v>
          </cell>
          <cell r="E190">
            <v>2916877.7174206194</v>
          </cell>
        </row>
        <row r="191">
          <cell r="A191">
            <v>170</v>
          </cell>
          <cell r="B191">
            <v>85</v>
          </cell>
          <cell r="C191">
            <v>42.5</v>
          </cell>
          <cell r="D191">
            <v>14.166666666666666</v>
          </cell>
          <cell r="E191">
            <v>2875793.9609717554</v>
          </cell>
        </row>
        <row r="192">
          <cell r="A192">
            <v>171</v>
          </cell>
          <cell r="B192">
            <v>85.5</v>
          </cell>
          <cell r="C192">
            <v>42.75</v>
          </cell>
          <cell r="D192">
            <v>14.25</v>
          </cell>
          <cell r="E192">
            <v>2834713.0268610036</v>
          </cell>
        </row>
        <row r="193">
          <cell r="A193">
            <v>172</v>
          </cell>
          <cell r="B193">
            <v>86</v>
          </cell>
          <cell r="C193">
            <v>43</v>
          </cell>
          <cell r="D193">
            <v>14.333333333333334</v>
          </cell>
          <cell r="E193">
            <v>2793634.7938171653</v>
          </cell>
        </row>
        <row r="194">
          <cell r="A194">
            <v>173</v>
          </cell>
          <cell r="B194">
            <v>86.5</v>
          </cell>
          <cell r="C194">
            <v>43.25</v>
          </cell>
          <cell r="D194">
            <v>14.416666666666666</v>
          </cell>
          <cell r="E194">
            <v>2752559.1405602321</v>
          </cell>
        </row>
        <row r="195">
          <cell r="A195">
            <v>174</v>
          </cell>
          <cell r="B195">
            <v>87</v>
          </cell>
          <cell r="C195">
            <v>43.5</v>
          </cell>
          <cell r="D195">
            <v>14.5</v>
          </cell>
          <cell r="E195">
            <v>2711485.9458010267</v>
          </cell>
        </row>
        <row r="196">
          <cell r="A196">
            <v>175</v>
          </cell>
          <cell r="B196">
            <v>87.5</v>
          </cell>
          <cell r="C196">
            <v>43.75</v>
          </cell>
          <cell r="D196">
            <v>14.583333333333334</v>
          </cell>
          <cell r="E196">
            <v>2670415.0882408405</v>
          </cell>
        </row>
        <row r="197">
          <cell r="A197">
            <v>176</v>
          </cell>
          <cell r="B197">
            <v>88</v>
          </cell>
          <cell r="C197">
            <v>44</v>
          </cell>
          <cell r="D197">
            <v>14.666666666666666</v>
          </cell>
          <cell r="E197">
            <v>2629346.4465710749</v>
          </cell>
        </row>
        <row r="198">
          <cell r="A198">
            <v>177</v>
          </cell>
          <cell r="B198">
            <v>88.5</v>
          </cell>
          <cell r="C198">
            <v>44.25</v>
          </cell>
          <cell r="D198">
            <v>14.75</v>
          </cell>
          <cell r="E198">
            <v>2588279.8994728783</v>
          </cell>
        </row>
        <row r="199">
          <cell r="A199">
            <v>178</v>
          </cell>
          <cell r="B199">
            <v>89</v>
          </cell>
          <cell r="C199">
            <v>44.5</v>
          </cell>
          <cell r="D199">
            <v>14.833333333333334</v>
          </cell>
          <cell r="E199">
            <v>2547215.3256167881</v>
          </cell>
        </row>
        <row r="200">
          <cell r="A200">
            <v>179</v>
          </cell>
          <cell r="B200">
            <v>89.5</v>
          </cell>
          <cell r="C200">
            <v>44.75</v>
          </cell>
          <cell r="D200">
            <v>14.916666666666666</v>
          </cell>
          <cell r="E200">
            <v>2506152.6036623688</v>
          </cell>
        </row>
        <row r="201">
          <cell r="A201">
            <v>180</v>
          </cell>
          <cell r="B201">
            <v>90</v>
          </cell>
          <cell r="C201">
            <v>45</v>
          </cell>
          <cell r="D201">
            <v>15</v>
          </cell>
          <cell r="E201">
            <v>2465091.6122578499</v>
          </cell>
        </row>
        <row r="202">
          <cell r="A202">
            <v>181</v>
          </cell>
          <cell r="B202">
            <v>90.5</v>
          </cell>
          <cell r="C202">
            <v>45.25</v>
          </cell>
          <cell r="D202">
            <v>15.083333333333334</v>
          </cell>
          <cell r="E202">
            <v>2424032.2300397665</v>
          </cell>
        </row>
        <row r="203">
          <cell r="A203">
            <v>182</v>
          </cell>
          <cell r="B203">
            <v>91</v>
          </cell>
          <cell r="C203">
            <v>45.5</v>
          </cell>
          <cell r="D203">
            <v>15.166666666666666</v>
          </cell>
          <cell r="E203">
            <v>2382974.335632598</v>
          </cell>
        </row>
        <row r="204">
          <cell r="A204">
            <v>183</v>
          </cell>
          <cell r="B204">
            <v>91.5</v>
          </cell>
          <cell r="C204">
            <v>45.75</v>
          </cell>
          <cell r="D204">
            <v>15.25</v>
          </cell>
          <cell r="E204">
            <v>2341917.8076484068</v>
          </cell>
        </row>
        <row r="205">
          <cell r="A205">
            <v>184</v>
          </cell>
          <cell r="B205">
            <v>92</v>
          </cell>
          <cell r="C205">
            <v>46</v>
          </cell>
          <cell r="D205">
            <v>15.333333333333334</v>
          </cell>
          <cell r="E205">
            <v>2300862.5246864771</v>
          </cell>
        </row>
        <row r="206">
          <cell r="A206">
            <v>185</v>
          </cell>
          <cell r="B206">
            <v>92.5</v>
          </cell>
          <cell r="C206">
            <v>46.25</v>
          </cell>
          <cell r="D206">
            <v>15.416666666666666</v>
          </cell>
          <cell r="E206">
            <v>2259808.3653329532</v>
          </cell>
        </row>
        <row r="207">
          <cell r="A207">
            <v>186</v>
          </cell>
          <cell r="B207">
            <v>93</v>
          </cell>
          <cell r="C207">
            <v>46.5</v>
          </cell>
          <cell r="D207">
            <v>15.5</v>
          </cell>
          <cell r="E207">
            <v>2218755.2081604777</v>
          </cell>
        </row>
        <row r="208">
          <cell r="A208">
            <v>187</v>
          </cell>
          <cell r="B208">
            <v>93.5</v>
          </cell>
          <cell r="C208">
            <v>46.75</v>
          </cell>
          <cell r="D208">
            <v>15.583333333333334</v>
          </cell>
          <cell r="E208">
            <v>2177702.9317278326</v>
          </cell>
        </row>
        <row r="209">
          <cell r="A209">
            <v>188</v>
          </cell>
          <cell r="B209">
            <v>94</v>
          </cell>
          <cell r="C209">
            <v>47</v>
          </cell>
          <cell r="D209">
            <v>15.666666666666666</v>
          </cell>
          <cell r="E209">
            <v>2136651.414579575</v>
          </cell>
        </row>
        <row r="210">
          <cell r="A210">
            <v>189</v>
          </cell>
          <cell r="B210">
            <v>94.5</v>
          </cell>
          <cell r="C210">
            <v>47.25</v>
          </cell>
          <cell r="D210">
            <v>15.75</v>
          </cell>
          <cell r="E210">
            <v>2095600.5352456754</v>
          </cell>
        </row>
        <row r="211">
          <cell r="A211">
            <v>190</v>
          </cell>
          <cell r="B211">
            <v>95</v>
          </cell>
          <cell r="C211">
            <v>47.5</v>
          </cell>
          <cell r="D211">
            <v>15.833333333333334</v>
          </cell>
          <cell r="E211">
            <v>2054550.1722411581</v>
          </cell>
        </row>
        <row r="212">
          <cell r="A212">
            <v>191</v>
          </cell>
          <cell r="B212">
            <v>95.5</v>
          </cell>
          <cell r="C212">
            <v>47.75</v>
          </cell>
          <cell r="D212">
            <v>15.916666666666666</v>
          </cell>
          <cell r="E212">
            <v>2013500.2040657378</v>
          </cell>
        </row>
        <row r="213">
          <cell r="A213">
            <v>192</v>
          </cell>
          <cell r="B213">
            <v>96</v>
          </cell>
          <cell r="C213">
            <v>48</v>
          </cell>
          <cell r="D213">
            <v>16</v>
          </cell>
          <cell r="E213">
            <v>1972450.5092034577</v>
          </cell>
        </row>
        <row r="214">
          <cell r="A214">
            <v>193</v>
          </cell>
          <cell r="B214">
            <v>96.5</v>
          </cell>
          <cell r="C214">
            <v>48.25</v>
          </cell>
          <cell r="D214">
            <v>16.083333333333332</v>
          </cell>
          <cell r="E214">
            <v>1931400.9661223278</v>
          </cell>
        </row>
        <row r="215">
          <cell r="A215">
            <v>194</v>
          </cell>
          <cell r="B215">
            <v>97</v>
          </cell>
          <cell r="C215">
            <v>48.5</v>
          </cell>
          <cell r="D215">
            <v>16.166666666666668</v>
          </cell>
          <cell r="E215">
            <v>1890351.4532739632</v>
          </cell>
        </row>
        <row r="216">
          <cell r="A216">
            <v>195</v>
          </cell>
          <cell r="B216">
            <v>97.5</v>
          </cell>
          <cell r="C216">
            <v>48.75</v>
          </cell>
          <cell r="D216">
            <v>16.25</v>
          </cell>
          <cell r="E216">
            <v>1849301.8490932204</v>
          </cell>
        </row>
        <row r="217">
          <cell r="A217">
            <v>196</v>
          </cell>
          <cell r="B217">
            <v>98</v>
          </cell>
          <cell r="C217">
            <v>49</v>
          </cell>
          <cell r="D217">
            <v>16.333333333333332</v>
          </cell>
          <cell r="E217">
            <v>1808252.0319978367</v>
          </cell>
        </row>
        <row r="218">
          <cell r="A218">
            <v>197</v>
          </cell>
          <cell r="B218">
            <v>98.5</v>
          </cell>
          <cell r="C218">
            <v>49.25</v>
          </cell>
          <cell r="D218">
            <v>16.416666666666668</v>
          </cell>
          <cell r="E218">
            <v>1767201.8803880664</v>
          </cell>
        </row>
        <row r="219">
          <cell r="A219">
            <v>198</v>
          </cell>
          <cell r="B219">
            <v>99</v>
          </cell>
          <cell r="C219">
            <v>49.5</v>
          </cell>
          <cell r="D219">
            <v>16.5</v>
          </cell>
          <cell r="E219">
            <v>1726151.2726463191</v>
          </cell>
        </row>
        <row r="220">
          <cell r="A220">
            <v>199</v>
          </cell>
          <cell r="B220">
            <v>99.5</v>
          </cell>
          <cell r="C220">
            <v>49.75</v>
          </cell>
          <cell r="D220">
            <v>16.583333333333332</v>
          </cell>
          <cell r="E220">
            <v>1685100.0871367969</v>
          </cell>
        </row>
        <row r="221">
          <cell r="A221">
            <v>200</v>
          </cell>
          <cell r="B221">
            <v>100</v>
          </cell>
          <cell r="C221">
            <v>50</v>
          </cell>
          <cell r="D221">
            <v>16.666666666666668</v>
          </cell>
          <cell r="E221">
            <v>1644048.2022051311</v>
          </cell>
        </row>
        <row r="222">
          <cell r="A222">
            <v>201</v>
          </cell>
          <cell r="B222">
            <v>100.5</v>
          </cell>
          <cell r="C222">
            <v>50.25</v>
          </cell>
          <cell r="D222">
            <v>16.75</v>
          </cell>
          <cell r="E222">
            <v>1602995.49617802</v>
          </cell>
        </row>
        <row r="223">
          <cell r="A223">
            <v>202</v>
          </cell>
          <cell r="B223">
            <v>101</v>
          </cell>
          <cell r="C223">
            <v>50.5</v>
          </cell>
          <cell r="D223">
            <v>16.833333333333332</v>
          </cell>
          <cell r="E223">
            <v>1561941.8473628655</v>
          </cell>
        </row>
        <row r="224">
          <cell r="A224">
            <v>203</v>
          </cell>
          <cell r="B224">
            <v>101.5</v>
          </cell>
          <cell r="C224">
            <v>50.75</v>
          </cell>
          <cell r="D224">
            <v>16.916666666666668</v>
          </cell>
          <cell r="E224">
            <v>1520887.1340474107</v>
          </cell>
        </row>
        <row r="225">
          <cell r="A225">
            <v>204</v>
          </cell>
          <cell r="B225">
            <v>102</v>
          </cell>
          <cell r="C225">
            <v>51</v>
          </cell>
          <cell r="D225">
            <v>17</v>
          </cell>
          <cell r="E225">
            <v>1479831.2344993753</v>
          </cell>
        </row>
        <row r="226">
          <cell r="A226">
            <v>205</v>
          </cell>
          <cell r="B226">
            <v>102.5</v>
          </cell>
          <cell r="C226">
            <v>51.25</v>
          </cell>
          <cell r="D226">
            <v>17.083333333333332</v>
          </cell>
          <cell r="E226">
            <v>1438774.0269660945</v>
          </cell>
        </row>
        <row r="227">
          <cell r="A227">
            <v>206</v>
          </cell>
          <cell r="B227">
            <v>103</v>
          </cell>
          <cell r="C227">
            <v>51.5</v>
          </cell>
          <cell r="D227">
            <v>17.166666666666668</v>
          </cell>
          <cell r="E227">
            <v>1397715.3896741534</v>
          </cell>
        </row>
        <row r="228">
          <cell r="A228">
            <v>207</v>
          </cell>
          <cell r="B228">
            <v>103.5</v>
          </cell>
          <cell r="C228">
            <v>51.75</v>
          </cell>
          <cell r="D228">
            <v>17.25</v>
          </cell>
          <cell r="E228">
            <v>1356655.2008290249</v>
          </cell>
        </row>
        <row r="229">
          <cell r="A229">
            <v>208</v>
          </cell>
          <cell r="B229">
            <v>104</v>
          </cell>
          <cell r="C229">
            <v>52</v>
          </cell>
          <cell r="D229">
            <v>17.333333333333332</v>
          </cell>
          <cell r="E229">
            <v>1315593.338614705</v>
          </cell>
        </row>
        <row r="230">
          <cell r="A230">
            <v>209</v>
          </cell>
          <cell r="B230">
            <v>104.5</v>
          </cell>
          <cell r="C230">
            <v>52.25</v>
          </cell>
          <cell r="D230">
            <v>17.416666666666668</v>
          </cell>
          <cell r="E230">
            <v>1274529.6811933506</v>
          </cell>
        </row>
        <row r="231">
          <cell r="A231">
            <v>210</v>
          </cell>
          <cell r="B231">
            <v>105</v>
          </cell>
          <cell r="C231">
            <v>52.5</v>
          </cell>
          <cell r="D231">
            <v>17.5</v>
          </cell>
          <cell r="E231">
            <v>1233464.106704914</v>
          </cell>
        </row>
        <row r="232">
          <cell r="A232">
            <v>211</v>
          </cell>
          <cell r="B232">
            <v>105.5</v>
          </cell>
          <cell r="C232">
            <v>52.75</v>
          </cell>
          <cell r="D232">
            <v>17.583333333333332</v>
          </cell>
          <cell r="E232">
            <v>1192396.4932667797</v>
          </cell>
        </row>
        <row r="233">
          <cell r="A233">
            <v>212</v>
          </cell>
          <cell r="B233">
            <v>106</v>
          </cell>
          <cell r="C233">
            <v>53</v>
          </cell>
          <cell r="D233">
            <v>17.666666666666668</v>
          </cell>
          <cell r="E233">
            <v>1151326.7189734008</v>
          </cell>
        </row>
        <row r="234">
          <cell r="A234">
            <v>213</v>
          </cell>
          <cell r="B234">
            <v>106.5</v>
          </cell>
          <cell r="C234">
            <v>53.25</v>
          </cell>
          <cell r="D234">
            <v>17.75</v>
          </cell>
          <cell r="E234">
            <v>1110254.6618959336</v>
          </cell>
        </row>
        <row r="235">
          <cell r="A235">
            <v>214</v>
          </cell>
          <cell r="B235">
            <v>107</v>
          </cell>
          <cell r="C235">
            <v>53.5</v>
          </cell>
          <cell r="D235">
            <v>17.833333333333332</v>
          </cell>
          <cell r="E235">
            <v>1069180.2000818746</v>
          </cell>
        </row>
        <row r="236">
          <cell r="A236">
            <v>215</v>
          </cell>
          <cell r="B236">
            <v>107.5</v>
          </cell>
          <cell r="C236">
            <v>53.75</v>
          </cell>
          <cell r="D236">
            <v>17.916666666666668</v>
          </cell>
          <cell r="E236">
            <v>1028103.2115546947</v>
          </cell>
        </row>
        <row r="237">
          <cell r="A237">
            <v>216</v>
          </cell>
          <cell r="B237">
            <v>108</v>
          </cell>
          <cell r="C237">
            <v>54</v>
          </cell>
          <cell r="D237">
            <v>18</v>
          </cell>
          <cell r="E237">
            <v>987023.57431347575</v>
          </cell>
        </row>
        <row r="238">
          <cell r="A238">
            <v>217</v>
          </cell>
          <cell r="B238">
            <v>108.5</v>
          </cell>
          <cell r="C238">
            <v>54.25</v>
          </cell>
          <cell r="D238">
            <v>18.083333333333332</v>
          </cell>
          <cell r="E238">
            <v>945941.16633254522</v>
          </cell>
        </row>
        <row r="239">
          <cell r="A239">
            <v>218</v>
          </cell>
          <cell r="B239">
            <v>109</v>
          </cell>
          <cell r="C239">
            <v>54.5</v>
          </cell>
          <cell r="D239">
            <v>18.166666666666668</v>
          </cell>
          <cell r="E239">
            <v>904855.86556111195</v>
          </cell>
        </row>
        <row r="240">
          <cell r="A240">
            <v>219</v>
          </cell>
          <cell r="B240">
            <v>109.5</v>
          </cell>
          <cell r="C240">
            <v>54.75</v>
          </cell>
          <cell r="D240">
            <v>18.25</v>
          </cell>
          <cell r="E240">
            <v>863767.54992290039</v>
          </cell>
        </row>
        <row r="241">
          <cell r="A241">
            <v>220</v>
          </cell>
          <cell r="B241">
            <v>110</v>
          </cell>
          <cell r="C241">
            <v>55</v>
          </cell>
          <cell r="D241">
            <v>18.333333333333332</v>
          </cell>
          <cell r="E241">
            <v>822676.09731578629</v>
          </cell>
        </row>
        <row r="242">
          <cell r="A242">
            <v>221</v>
          </cell>
          <cell r="B242">
            <v>110.5</v>
          </cell>
          <cell r="C242">
            <v>55.25</v>
          </cell>
          <cell r="D242">
            <v>18.416666666666668</v>
          </cell>
          <cell r="E242">
            <v>781581.38561143121</v>
          </cell>
        </row>
        <row r="243">
          <cell r="A243">
            <v>222</v>
          </cell>
          <cell r="B243">
            <v>111</v>
          </cell>
          <cell r="C243">
            <v>55.5</v>
          </cell>
          <cell r="D243">
            <v>18.5</v>
          </cell>
          <cell r="E243">
            <v>740483.29265491699</v>
          </cell>
        </row>
        <row r="244">
          <cell r="A244">
            <v>223</v>
          </cell>
          <cell r="B244">
            <v>111.5</v>
          </cell>
          <cell r="C244">
            <v>55.75</v>
          </cell>
          <cell r="D244">
            <v>18.583333333333332</v>
          </cell>
          <cell r="E244">
            <v>699381.69626438094</v>
          </cell>
        </row>
        <row r="245">
          <cell r="A245">
            <v>224</v>
          </cell>
          <cell r="B245">
            <v>112</v>
          </cell>
          <cell r="C245">
            <v>56</v>
          </cell>
          <cell r="D245">
            <v>18.666666666666668</v>
          </cell>
          <cell r="E245">
            <v>658276.4742306493</v>
          </cell>
        </row>
        <row r="246">
          <cell r="A246">
            <v>225</v>
          </cell>
          <cell r="B246">
            <v>112.5</v>
          </cell>
          <cell r="C246">
            <v>56.25</v>
          </cell>
          <cell r="D246">
            <v>18.75</v>
          </cell>
          <cell r="E246">
            <v>617167.50431687268</v>
          </cell>
        </row>
        <row r="247">
          <cell r="A247">
            <v>226</v>
          </cell>
          <cell r="B247">
            <v>113</v>
          </cell>
          <cell r="C247">
            <v>56.5</v>
          </cell>
          <cell r="D247">
            <v>18.833333333333332</v>
          </cell>
          <cell r="E247">
            <v>576054.66425815911</v>
          </cell>
        </row>
        <row r="248">
          <cell r="A248">
            <v>227</v>
          </cell>
          <cell r="B248">
            <v>113.5</v>
          </cell>
          <cell r="C248">
            <v>56.75</v>
          </cell>
          <cell r="D248">
            <v>18.916666666666668</v>
          </cell>
          <cell r="E248">
            <v>534937.83176120871</v>
          </cell>
        </row>
        <row r="249">
          <cell r="A249">
            <v>228</v>
          </cell>
          <cell r="B249">
            <v>114</v>
          </cell>
          <cell r="C249">
            <v>57</v>
          </cell>
          <cell r="D249">
            <v>19</v>
          </cell>
          <cell r="E249">
            <v>493816.88450394757</v>
          </cell>
        </row>
        <row r="250">
          <cell r="A250">
            <v>229</v>
          </cell>
          <cell r="B250">
            <v>114.5</v>
          </cell>
          <cell r="C250">
            <v>57.25</v>
          </cell>
          <cell r="D250">
            <v>19.083333333333332</v>
          </cell>
          <cell r="E250">
            <v>452691.70013516123</v>
          </cell>
        </row>
        <row r="251">
          <cell r="A251">
            <v>230</v>
          </cell>
          <cell r="B251">
            <v>115</v>
          </cell>
          <cell r="C251">
            <v>57.5</v>
          </cell>
          <cell r="D251">
            <v>19.166666666666668</v>
          </cell>
          <cell r="E251">
            <v>411562.15627412841</v>
          </cell>
        </row>
        <row r="252">
          <cell r="A252">
            <v>231</v>
          </cell>
          <cell r="B252">
            <v>115.5</v>
          </cell>
          <cell r="C252">
            <v>57.75</v>
          </cell>
          <cell r="D252">
            <v>19.25</v>
          </cell>
          <cell r="E252">
            <v>370428.13051025453</v>
          </cell>
        </row>
        <row r="253">
          <cell r="A253">
            <v>232</v>
          </cell>
          <cell r="B253">
            <v>116</v>
          </cell>
          <cell r="C253">
            <v>58</v>
          </cell>
          <cell r="D253">
            <v>19.333333333333332</v>
          </cell>
          <cell r="E253">
            <v>329289.50040270505</v>
          </cell>
        </row>
        <row r="254">
          <cell r="A254">
            <v>233</v>
          </cell>
          <cell r="B254">
            <v>116.5</v>
          </cell>
          <cell r="C254">
            <v>58.25</v>
          </cell>
          <cell r="D254">
            <v>19.416666666666668</v>
          </cell>
          <cell r="E254">
            <v>288146.14348003856</v>
          </cell>
        </row>
        <row r="255">
          <cell r="A255">
            <v>234</v>
          </cell>
          <cell r="B255">
            <v>117</v>
          </cell>
          <cell r="C255">
            <v>58.5</v>
          </cell>
          <cell r="D255">
            <v>19.5</v>
          </cell>
          <cell r="E255">
            <v>246997.93723983999</v>
          </cell>
        </row>
        <row r="256">
          <cell r="A256">
            <v>235</v>
          </cell>
          <cell r="B256">
            <v>117.5</v>
          </cell>
          <cell r="C256">
            <v>58.75</v>
          </cell>
          <cell r="D256">
            <v>19.583333333333332</v>
          </cell>
          <cell r="E256">
            <v>205844.75914835333</v>
          </cell>
        </row>
        <row r="257">
          <cell r="A257">
            <v>236</v>
          </cell>
          <cell r="B257">
            <v>118</v>
          </cell>
          <cell r="C257">
            <v>59</v>
          </cell>
          <cell r="D257">
            <v>19.666666666666668</v>
          </cell>
          <cell r="E257">
            <v>164686.48664011466</v>
          </cell>
        </row>
        <row r="258">
          <cell r="A258">
            <v>237</v>
          </cell>
          <cell r="B258">
            <v>118.5</v>
          </cell>
          <cell r="C258">
            <v>59.25</v>
          </cell>
          <cell r="D258">
            <v>19.75</v>
          </cell>
          <cell r="E258">
            <v>123522.9971175845</v>
          </cell>
        </row>
        <row r="259">
          <cell r="A259">
            <v>238</v>
          </cell>
          <cell r="B259">
            <v>119</v>
          </cell>
          <cell r="C259">
            <v>59.5</v>
          </cell>
          <cell r="D259">
            <v>19.833333333333332</v>
          </cell>
          <cell r="E259">
            <v>82354.167950780422</v>
          </cell>
        </row>
        <row r="260">
          <cell r="A260">
            <v>239</v>
          </cell>
          <cell r="B260">
            <v>119.5</v>
          </cell>
          <cell r="C260">
            <v>59.75</v>
          </cell>
          <cell r="D260">
            <v>19.916666666666668</v>
          </cell>
          <cell r="E260">
            <v>41179.876476909412</v>
          </cell>
        </row>
        <row r="261">
          <cell r="A261">
            <v>240</v>
          </cell>
          <cell r="B261">
            <v>120</v>
          </cell>
          <cell r="C261">
            <v>60</v>
          </cell>
          <cell r="D261">
            <v>20</v>
          </cell>
          <cell r="E261">
            <v>-7.2639407786342765E-12</v>
          </cell>
        </row>
        <row r="262">
          <cell r="A262">
            <v>241</v>
          </cell>
          <cell r="B262">
            <v>120.5</v>
          </cell>
          <cell r="C262">
            <v>60.25</v>
          </cell>
          <cell r="D262">
            <v>20.083333333333332</v>
          </cell>
          <cell r="E262">
            <v>0</v>
          </cell>
        </row>
        <row r="263">
          <cell r="A263">
            <v>242</v>
          </cell>
          <cell r="B263">
            <v>121</v>
          </cell>
          <cell r="C263">
            <v>60.5</v>
          </cell>
          <cell r="D263">
            <v>20.166666666666668</v>
          </cell>
          <cell r="E263">
            <v>0</v>
          </cell>
        </row>
        <row r="264">
          <cell r="A264">
            <v>243</v>
          </cell>
          <cell r="B264">
            <v>121.5</v>
          </cell>
          <cell r="C264">
            <v>60.75</v>
          </cell>
          <cell r="D264">
            <v>20.25</v>
          </cell>
          <cell r="E264">
            <v>0</v>
          </cell>
        </row>
        <row r="265">
          <cell r="A265">
            <v>244</v>
          </cell>
          <cell r="B265">
            <v>122</v>
          </cell>
          <cell r="C265">
            <v>61</v>
          </cell>
          <cell r="D265">
            <v>20.333333333333332</v>
          </cell>
          <cell r="E265">
            <v>0</v>
          </cell>
        </row>
        <row r="266">
          <cell r="A266">
            <v>245</v>
          </cell>
          <cell r="B266">
            <v>122.5</v>
          </cell>
          <cell r="C266">
            <v>61.25</v>
          </cell>
          <cell r="D266">
            <v>20.416666666666668</v>
          </cell>
          <cell r="E266">
            <v>0</v>
          </cell>
        </row>
        <row r="267">
          <cell r="A267">
            <v>246</v>
          </cell>
          <cell r="B267">
            <v>123</v>
          </cell>
          <cell r="C267">
            <v>61.5</v>
          </cell>
          <cell r="D267">
            <v>20.5</v>
          </cell>
          <cell r="E267">
            <v>0</v>
          </cell>
        </row>
        <row r="268">
          <cell r="A268">
            <v>247</v>
          </cell>
          <cell r="B268">
            <v>123.5</v>
          </cell>
          <cell r="C268">
            <v>61.75</v>
          </cell>
          <cell r="D268">
            <v>20.583333333333332</v>
          </cell>
          <cell r="E268">
            <v>0</v>
          </cell>
        </row>
        <row r="269">
          <cell r="A269">
            <v>248</v>
          </cell>
          <cell r="B269">
            <v>124</v>
          </cell>
          <cell r="C269">
            <v>62</v>
          </cell>
          <cell r="D269">
            <v>20.666666666666668</v>
          </cell>
          <cell r="E269">
            <v>0</v>
          </cell>
        </row>
        <row r="270">
          <cell r="A270">
            <v>249</v>
          </cell>
          <cell r="B270">
            <v>124.5</v>
          </cell>
          <cell r="C270">
            <v>62.25</v>
          </cell>
          <cell r="D270">
            <v>20.75</v>
          </cell>
          <cell r="E270">
            <v>0</v>
          </cell>
        </row>
        <row r="271">
          <cell r="A271">
            <v>250</v>
          </cell>
          <cell r="B271">
            <v>125</v>
          </cell>
          <cell r="C271">
            <v>62.5</v>
          </cell>
          <cell r="D271">
            <v>20.833333333333332</v>
          </cell>
          <cell r="E271">
            <v>0</v>
          </cell>
        </row>
        <row r="272">
          <cell r="A272">
            <v>251</v>
          </cell>
          <cell r="B272">
            <v>125.5</v>
          </cell>
          <cell r="C272">
            <v>62.75</v>
          </cell>
          <cell r="D272">
            <v>20.916666666666668</v>
          </cell>
          <cell r="E272">
            <v>0</v>
          </cell>
        </row>
        <row r="273">
          <cell r="A273">
            <v>252</v>
          </cell>
          <cell r="B273">
            <v>126</v>
          </cell>
          <cell r="C273">
            <v>63</v>
          </cell>
          <cell r="D273">
            <v>21</v>
          </cell>
          <cell r="E273">
            <v>0</v>
          </cell>
        </row>
        <row r="274">
          <cell r="A274">
            <v>253</v>
          </cell>
          <cell r="B274">
            <v>126.5</v>
          </cell>
          <cell r="C274">
            <v>63.25</v>
          </cell>
          <cell r="D274">
            <v>21.083333333333332</v>
          </cell>
          <cell r="E274">
            <v>0</v>
          </cell>
        </row>
        <row r="275">
          <cell r="A275">
            <v>254</v>
          </cell>
          <cell r="B275">
            <v>127</v>
          </cell>
          <cell r="C275">
            <v>63.5</v>
          </cell>
          <cell r="D275">
            <v>21.166666666666668</v>
          </cell>
          <cell r="E275">
            <v>0</v>
          </cell>
        </row>
        <row r="276">
          <cell r="A276">
            <v>255</v>
          </cell>
          <cell r="B276">
            <v>127.5</v>
          </cell>
          <cell r="C276">
            <v>63.75</v>
          </cell>
          <cell r="D276">
            <v>21.25</v>
          </cell>
          <cell r="E276">
            <v>0</v>
          </cell>
        </row>
        <row r="277">
          <cell r="A277">
            <v>256</v>
          </cell>
          <cell r="B277">
            <v>128</v>
          </cell>
          <cell r="C277">
            <v>64</v>
          </cell>
          <cell r="D277">
            <v>21.333333333333332</v>
          </cell>
          <cell r="E277">
            <v>0</v>
          </cell>
        </row>
        <row r="278">
          <cell r="A278">
            <v>257</v>
          </cell>
          <cell r="B278">
            <v>128.5</v>
          </cell>
          <cell r="C278">
            <v>64.25</v>
          </cell>
          <cell r="D278">
            <v>21.416666666666668</v>
          </cell>
          <cell r="E278">
            <v>0</v>
          </cell>
        </row>
        <row r="279">
          <cell r="A279">
            <v>258</v>
          </cell>
          <cell r="B279">
            <v>129</v>
          </cell>
          <cell r="C279">
            <v>64.5</v>
          </cell>
          <cell r="D279">
            <v>21.5</v>
          </cell>
          <cell r="E279">
            <v>0</v>
          </cell>
        </row>
        <row r="280">
          <cell r="A280">
            <v>259</v>
          </cell>
          <cell r="B280">
            <v>129.5</v>
          </cell>
          <cell r="C280">
            <v>64.75</v>
          </cell>
          <cell r="D280">
            <v>21.583333333333332</v>
          </cell>
          <cell r="E280">
            <v>0</v>
          </cell>
        </row>
        <row r="281">
          <cell r="A281">
            <v>260</v>
          </cell>
          <cell r="B281">
            <v>130</v>
          </cell>
          <cell r="C281">
            <v>65</v>
          </cell>
          <cell r="D281">
            <v>21.666666666666668</v>
          </cell>
          <cell r="E281">
            <v>0</v>
          </cell>
        </row>
        <row r="282">
          <cell r="A282">
            <v>261</v>
          </cell>
          <cell r="B282">
            <v>130.5</v>
          </cell>
          <cell r="C282">
            <v>65.25</v>
          </cell>
          <cell r="D282">
            <v>21.75</v>
          </cell>
          <cell r="E282">
            <v>0</v>
          </cell>
        </row>
        <row r="283">
          <cell r="A283">
            <v>262</v>
          </cell>
          <cell r="B283">
            <v>131</v>
          </cell>
          <cell r="C283">
            <v>65.5</v>
          </cell>
          <cell r="D283">
            <v>21.833333333333332</v>
          </cell>
          <cell r="E283">
            <v>0</v>
          </cell>
        </row>
        <row r="284">
          <cell r="A284">
            <v>263</v>
          </cell>
          <cell r="B284">
            <v>131.5</v>
          </cell>
          <cell r="C284">
            <v>65.75</v>
          </cell>
          <cell r="D284">
            <v>21.916666666666668</v>
          </cell>
          <cell r="E284">
            <v>0</v>
          </cell>
        </row>
        <row r="285">
          <cell r="A285">
            <v>264</v>
          </cell>
          <cell r="B285">
            <v>132</v>
          </cell>
          <cell r="C285">
            <v>66</v>
          </cell>
          <cell r="D285">
            <v>22</v>
          </cell>
          <cell r="E285">
            <v>0</v>
          </cell>
        </row>
        <row r="286">
          <cell r="A286">
            <v>265</v>
          </cell>
          <cell r="B286">
            <v>132.5</v>
          </cell>
          <cell r="C286">
            <v>66.25</v>
          </cell>
          <cell r="D286">
            <v>22.083333333333332</v>
          </cell>
          <cell r="E286">
            <v>0</v>
          </cell>
        </row>
        <row r="287">
          <cell r="A287">
            <v>266</v>
          </cell>
          <cell r="B287">
            <v>133</v>
          </cell>
          <cell r="C287">
            <v>66.5</v>
          </cell>
          <cell r="D287">
            <v>22.166666666666668</v>
          </cell>
          <cell r="E287">
            <v>0</v>
          </cell>
        </row>
        <row r="288">
          <cell r="A288">
            <v>267</v>
          </cell>
          <cell r="B288">
            <v>133.5</v>
          </cell>
          <cell r="C288">
            <v>66.75</v>
          </cell>
          <cell r="D288">
            <v>22.25</v>
          </cell>
          <cell r="E288">
            <v>0</v>
          </cell>
        </row>
        <row r="289">
          <cell r="A289">
            <v>268</v>
          </cell>
          <cell r="B289">
            <v>134</v>
          </cell>
          <cell r="C289">
            <v>67</v>
          </cell>
          <cell r="D289">
            <v>22.333333333333332</v>
          </cell>
          <cell r="E289">
            <v>0</v>
          </cell>
        </row>
        <row r="290">
          <cell r="A290">
            <v>269</v>
          </cell>
          <cell r="B290">
            <v>134.5</v>
          </cell>
          <cell r="C290">
            <v>67.25</v>
          </cell>
          <cell r="D290">
            <v>22.416666666666668</v>
          </cell>
          <cell r="E290">
            <v>0</v>
          </cell>
        </row>
        <row r="291">
          <cell r="A291">
            <v>270</v>
          </cell>
          <cell r="B291">
            <v>135</v>
          </cell>
          <cell r="C291">
            <v>67.5</v>
          </cell>
          <cell r="D291">
            <v>22.5</v>
          </cell>
          <cell r="E291">
            <v>0</v>
          </cell>
        </row>
        <row r="292">
          <cell r="A292">
            <v>271</v>
          </cell>
          <cell r="B292">
            <v>135.5</v>
          </cell>
          <cell r="C292">
            <v>67.75</v>
          </cell>
          <cell r="D292">
            <v>22.583333333333332</v>
          </cell>
          <cell r="E292">
            <v>0</v>
          </cell>
        </row>
        <row r="293">
          <cell r="A293">
            <v>272</v>
          </cell>
          <cell r="B293">
            <v>136</v>
          </cell>
          <cell r="C293">
            <v>68</v>
          </cell>
          <cell r="D293">
            <v>22.666666666666668</v>
          </cell>
          <cell r="E293">
            <v>0</v>
          </cell>
        </row>
        <row r="294">
          <cell r="A294">
            <v>273</v>
          </cell>
          <cell r="B294">
            <v>136.5</v>
          </cell>
          <cell r="C294">
            <v>68.25</v>
          </cell>
          <cell r="D294">
            <v>22.75</v>
          </cell>
          <cell r="E294">
            <v>0</v>
          </cell>
        </row>
        <row r="295">
          <cell r="A295">
            <v>274</v>
          </cell>
          <cell r="B295">
            <v>137</v>
          </cell>
          <cell r="C295">
            <v>68.5</v>
          </cell>
          <cell r="D295">
            <v>22.833333333333332</v>
          </cell>
          <cell r="E295">
            <v>0</v>
          </cell>
        </row>
        <row r="296">
          <cell r="A296">
            <v>275</v>
          </cell>
          <cell r="B296">
            <v>137.5</v>
          </cell>
          <cell r="C296">
            <v>68.75</v>
          </cell>
          <cell r="D296">
            <v>22.916666666666668</v>
          </cell>
          <cell r="E296">
            <v>0</v>
          </cell>
        </row>
        <row r="297">
          <cell r="A297">
            <v>276</v>
          </cell>
          <cell r="B297">
            <v>138</v>
          </cell>
          <cell r="C297">
            <v>69</v>
          </cell>
          <cell r="D297">
            <v>23</v>
          </cell>
          <cell r="E297">
            <v>0</v>
          </cell>
        </row>
        <row r="298">
          <cell r="A298">
            <v>277</v>
          </cell>
          <cell r="B298">
            <v>138.5</v>
          </cell>
          <cell r="C298">
            <v>69.25</v>
          </cell>
          <cell r="D298">
            <v>23.083333333333332</v>
          </cell>
          <cell r="E298">
            <v>0</v>
          </cell>
        </row>
        <row r="299">
          <cell r="A299">
            <v>278</v>
          </cell>
          <cell r="B299">
            <v>139</v>
          </cell>
          <cell r="C299">
            <v>69.5</v>
          </cell>
          <cell r="D299">
            <v>23.166666666666668</v>
          </cell>
          <cell r="E299">
            <v>0</v>
          </cell>
        </row>
        <row r="300">
          <cell r="A300">
            <v>279</v>
          </cell>
          <cell r="B300">
            <v>139.5</v>
          </cell>
          <cell r="C300">
            <v>69.75</v>
          </cell>
          <cell r="D300">
            <v>23.25</v>
          </cell>
          <cell r="E300">
            <v>0</v>
          </cell>
        </row>
        <row r="301">
          <cell r="A301">
            <v>280</v>
          </cell>
          <cell r="B301">
            <v>140</v>
          </cell>
          <cell r="C301">
            <v>70</v>
          </cell>
          <cell r="D301">
            <v>23.333333333333332</v>
          </cell>
          <cell r="E301">
            <v>0</v>
          </cell>
        </row>
        <row r="302">
          <cell r="A302">
            <v>281</v>
          </cell>
          <cell r="B302">
            <v>140.5</v>
          </cell>
          <cell r="C302">
            <v>70.25</v>
          </cell>
          <cell r="D302">
            <v>23.416666666666668</v>
          </cell>
          <cell r="E302">
            <v>0</v>
          </cell>
        </row>
        <row r="303">
          <cell r="A303">
            <v>282</v>
          </cell>
          <cell r="B303">
            <v>141</v>
          </cell>
          <cell r="C303">
            <v>70.5</v>
          </cell>
          <cell r="D303">
            <v>23.5</v>
          </cell>
          <cell r="E303">
            <v>0</v>
          </cell>
        </row>
        <row r="304">
          <cell r="A304">
            <v>283</v>
          </cell>
          <cell r="B304">
            <v>141.5</v>
          </cell>
          <cell r="C304">
            <v>70.75</v>
          </cell>
          <cell r="D304">
            <v>23.583333333333332</v>
          </cell>
          <cell r="E304">
            <v>0</v>
          </cell>
        </row>
        <row r="305">
          <cell r="A305">
            <v>284</v>
          </cell>
          <cell r="B305">
            <v>142</v>
          </cell>
          <cell r="C305">
            <v>71</v>
          </cell>
          <cell r="D305">
            <v>23.666666666666668</v>
          </cell>
          <cell r="E305">
            <v>0</v>
          </cell>
        </row>
        <row r="306">
          <cell r="A306">
            <v>285</v>
          </cell>
          <cell r="B306">
            <v>142.5</v>
          </cell>
          <cell r="C306">
            <v>71.25</v>
          </cell>
          <cell r="D306">
            <v>23.75</v>
          </cell>
          <cell r="E306">
            <v>0</v>
          </cell>
        </row>
        <row r="307">
          <cell r="A307">
            <v>286</v>
          </cell>
          <cell r="B307">
            <v>143</v>
          </cell>
          <cell r="C307">
            <v>71.5</v>
          </cell>
          <cell r="D307">
            <v>23.833333333333332</v>
          </cell>
          <cell r="E307">
            <v>0</v>
          </cell>
        </row>
        <row r="308">
          <cell r="A308">
            <v>287</v>
          </cell>
          <cell r="B308">
            <v>143.5</v>
          </cell>
          <cell r="C308">
            <v>71.75</v>
          </cell>
          <cell r="D308">
            <v>23.916666666666668</v>
          </cell>
          <cell r="E308">
            <v>0</v>
          </cell>
        </row>
        <row r="309">
          <cell r="A309">
            <v>288</v>
          </cell>
          <cell r="B309">
            <v>144</v>
          </cell>
          <cell r="C309">
            <v>72</v>
          </cell>
          <cell r="D309">
            <v>24</v>
          </cell>
          <cell r="E309">
            <v>0</v>
          </cell>
        </row>
        <row r="310">
          <cell r="A310">
            <v>289</v>
          </cell>
          <cell r="B310">
            <v>144.5</v>
          </cell>
          <cell r="C310">
            <v>72.25</v>
          </cell>
          <cell r="D310">
            <v>24.083333333333332</v>
          </cell>
          <cell r="E310">
            <v>0</v>
          </cell>
        </row>
        <row r="311">
          <cell r="A311">
            <v>290</v>
          </cell>
          <cell r="B311">
            <v>145</v>
          </cell>
          <cell r="C311">
            <v>72.5</v>
          </cell>
          <cell r="D311">
            <v>24.166666666666668</v>
          </cell>
          <cell r="E311">
            <v>0</v>
          </cell>
        </row>
        <row r="312">
          <cell r="A312">
            <v>291</v>
          </cell>
          <cell r="B312">
            <v>145.5</v>
          </cell>
          <cell r="C312">
            <v>72.75</v>
          </cell>
          <cell r="D312">
            <v>24.25</v>
          </cell>
          <cell r="E312">
            <v>0</v>
          </cell>
        </row>
        <row r="313">
          <cell r="A313">
            <v>292</v>
          </cell>
          <cell r="B313">
            <v>146</v>
          </cell>
          <cell r="C313">
            <v>73</v>
          </cell>
          <cell r="D313">
            <v>24.333333333333332</v>
          </cell>
          <cell r="E313">
            <v>0</v>
          </cell>
        </row>
        <row r="314">
          <cell r="A314">
            <v>293</v>
          </cell>
          <cell r="B314">
            <v>146.5</v>
          </cell>
          <cell r="C314">
            <v>73.25</v>
          </cell>
          <cell r="D314">
            <v>24.416666666666668</v>
          </cell>
          <cell r="E314">
            <v>0</v>
          </cell>
        </row>
        <row r="315">
          <cell r="A315">
            <v>294</v>
          </cell>
          <cell r="B315">
            <v>147</v>
          </cell>
          <cell r="C315">
            <v>73.5</v>
          </cell>
          <cell r="D315">
            <v>24.5</v>
          </cell>
          <cell r="E315">
            <v>0</v>
          </cell>
        </row>
        <row r="316">
          <cell r="A316">
            <v>295</v>
          </cell>
          <cell r="B316">
            <v>147.5</v>
          </cell>
          <cell r="C316">
            <v>73.75</v>
          </cell>
          <cell r="D316">
            <v>24.583333333333332</v>
          </cell>
          <cell r="E316">
            <v>0</v>
          </cell>
        </row>
        <row r="317">
          <cell r="A317">
            <v>296</v>
          </cell>
          <cell r="B317">
            <v>148</v>
          </cell>
          <cell r="C317">
            <v>74</v>
          </cell>
          <cell r="D317">
            <v>24.666666666666668</v>
          </cell>
          <cell r="E317">
            <v>0</v>
          </cell>
        </row>
        <row r="318">
          <cell r="A318">
            <v>297</v>
          </cell>
          <cell r="B318">
            <v>148.5</v>
          </cell>
          <cell r="C318">
            <v>74.25</v>
          </cell>
          <cell r="D318">
            <v>24.75</v>
          </cell>
          <cell r="E318">
            <v>0</v>
          </cell>
        </row>
        <row r="319">
          <cell r="A319">
            <v>298</v>
          </cell>
          <cell r="B319">
            <v>149</v>
          </cell>
          <cell r="C319">
            <v>74.5</v>
          </cell>
          <cell r="D319">
            <v>24.833333333333332</v>
          </cell>
          <cell r="E319">
            <v>0</v>
          </cell>
        </row>
        <row r="320">
          <cell r="A320">
            <v>299</v>
          </cell>
          <cell r="B320">
            <v>149.5</v>
          </cell>
          <cell r="C320">
            <v>74.75</v>
          </cell>
          <cell r="D320">
            <v>24.916666666666668</v>
          </cell>
          <cell r="E320">
            <v>0</v>
          </cell>
        </row>
        <row r="321">
          <cell r="A321">
            <v>300</v>
          </cell>
          <cell r="B321">
            <v>150</v>
          </cell>
          <cell r="C321">
            <v>75</v>
          </cell>
          <cell r="D321">
            <v>25</v>
          </cell>
          <cell r="E321">
            <v>0</v>
          </cell>
        </row>
        <row r="322">
          <cell r="A322">
            <v>301</v>
          </cell>
          <cell r="B322">
            <v>150.5</v>
          </cell>
          <cell r="C322">
            <v>75.25</v>
          </cell>
          <cell r="D322">
            <v>25.083333333333332</v>
          </cell>
          <cell r="E322">
            <v>0</v>
          </cell>
        </row>
        <row r="323">
          <cell r="A323">
            <v>302</v>
          </cell>
          <cell r="B323">
            <v>151</v>
          </cell>
          <cell r="C323">
            <v>75.5</v>
          </cell>
          <cell r="D323">
            <v>25.166666666666668</v>
          </cell>
          <cell r="E323">
            <v>0</v>
          </cell>
        </row>
        <row r="324">
          <cell r="A324">
            <v>303</v>
          </cell>
          <cell r="B324">
            <v>151.5</v>
          </cell>
          <cell r="C324">
            <v>75.75</v>
          </cell>
          <cell r="D324">
            <v>25.25</v>
          </cell>
          <cell r="E324">
            <v>0</v>
          </cell>
        </row>
        <row r="325">
          <cell r="A325">
            <v>304</v>
          </cell>
          <cell r="B325">
            <v>152</v>
          </cell>
          <cell r="C325">
            <v>76</v>
          </cell>
          <cell r="D325">
            <v>25.333333333333332</v>
          </cell>
          <cell r="E325">
            <v>0</v>
          </cell>
        </row>
        <row r="326">
          <cell r="A326">
            <v>305</v>
          </cell>
          <cell r="B326">
            <v>152.5</v>
          </cell>
          <cell r="C326">
            <v>76.25</v>
          </cell>
          <cell r="D326">
            <v>25.416666666666668</v>
          </cell>
          <cell r="E326">
            <v>0</v>
          </cell>
        </row>
        <row r="327">
          <cell r="A327">
            <v>306</v>
          </cell>
          <cell r="B327">
            <v>153</v>
          </cell>
          <cell r="C327">
            <v>76.5</v>
          </cell>
          <cell r="D327">
            <v>25.5</v>
          </cell>
          <cell r="E327">
            <v>0</v>
          </cell>
        </row>
        <row r="328">
          <cell r="A328">
            <v>307</v>
          </cell>
          <cell r="B328">
            <v>153.5</v>
          </cell>
          <cell r="C328">
            <v>76.75</v>
          </cell>
          <cell r="D328">
            <v>25.583333333333332</v>
          </cell>
          <cell r="E328">
            <v>0</v>
          </cell>
        </row>
        <row r="329">
          <cell r="A329">
            <v>308</v>
          </cell>
          <cell r="B329">
            <v>154</v>
          </cell>
          <cell r="C329">
            <v>77</v>
          </cell>
          <cell r="D329">
            <v>25.666666666666668</v>
          </cell>
          <cell r="E329">
            <v>0</v>
          </cell>
        </row>
        <row r="330">
          <cell r="A330">
            <v>309</v>
          </cell>
          <cell r="B330">
            <v>154.5</v>
          </cell>
          <cell r="C330">
            <v>77.25</v>
          </cell>
          <cell r="D330">
            <v>25.75</v>
          </cell>
          <cell r="E330">
            <v>0</v>
          </cell>
        </row>
        <row r="331">
          <cell r="A331">
            <v>310</v>
          </cell>
          <cell r="B331">
            <v>155</v>
          </cell>
          <cell r="C331">
            <v>77.5</v>
          </cell>
          <cell r="D331">
            <v>25.833333333333332</v>
          </cell>
          <cell r="E331">
            <v>0</v>
          </cell>
        </row>
        <row r="332">
          <cell r="A332">
            <v>311</v>
          </cell>
          <cell r="B332">
            <v>155.5</v>
          </cell>
          <cell r="C332">
            <v>77.75</v>
          </cell>
          <cell r="D332">
            <v>25.916666666666668</v>
          </cell>
          <cell r="E332">
            <v>0</v>
          </cell>
        </row>
        <row r="333">
          <cell r="A333">
            <v>312</v>
          </cell>
          <cell r="B333">
            <v>156</v>
          </cell>
          <cell r="C333">
            <v>78</v>
          </cell>
          <cell r="D333">
            <v>26</v>
          </cell>
          <cell r="E333">
            <v>0</v>
          </cell>
        </row>
        <row r="334">
          <cell r="A334">
            <v>313</v>
          </cell>
          <cell r="B334">
            <v>156.5</v>
          </cell>
          <cell r="C334">
            <v>78.25</v>
          </cell>
          <cell r="D334">
            <v>26.083333333333332</v>
          </cell>
          <cell r="E334">
            <v>0</v>
          </cell>
        </row>
        <row r="335">
          <cell r="A335">
            <v>314</v>
          </cell>
          <cell r="B335">
            <v>157</v>
          </cell>
          <cell r="C335">
            <v>78.5</v>
          </cell>
          <cell r="D335">
            <v>26.166666666666668</v>
          </cell>
          <cell r="E335">
            <v>0</v>
          </cell>
        </row>
        <row r="336">
          <cell r="A336">
            <v>315</v>
          </cell>
          <cell r="B336">
            <v>157.5</v>
          </cell>
          <cell r="C336">
            <v>78.75</v>
          </cell>
          <cell r="D336">
            <v>26.25</v>
          </cell>
          <cell r="E336">
            <v>0</v>
          </cell>
        </row>
        <row r="337">
          <cell r="A337">
            <v>316</v>
          </cell>
          <cell r="B337">
            <v>158</v>
          </cell>
          <cell r="C337">
            <v>79</v>
          </cell>
          <cell r="D337">
            <v>26.333333333333332</v>
          </cell>
          <cell r="E337">
            <v>0</v>
          </cell>
        </row>
        <row r="338">
          <cell r="A338">
            <v>317</v>
          </cell>
          <cell r="B338">
            <v>158.5</v>
          </cell>
          <cell r="C338">
            <v>79.25</v>
          </cell>
          <cell r="D338">
            <v>26.416666666666668</v>
          </cell>
          <cell r="E338">
            <v>0</v>
          </cell>
        </row>
        <row r="339">
          <cell r="A339">
            <v>318</v>
          </cell>
          <cell r="B339">
            <v>159</v>
          </cell>
          <cell r="C339">
            <v>79.5</v>
          </cell>
          <cell r="D339">
            <v>26.5</v>
          </cell>
          <cell r="E339">
            <v>0</v>
          </cell>
        </row>
        <row r="340">
          <cell r="A340">
            <v>319</v>
          </cell>
          <cell r="B340">
            <v>159.5</v>
          </cell>
          <cell r="C340">
            <v>79.75</v>
          </cell>
          <cell r="D340">
            <v>26.583333333333332</v>
          </cell>
          <cell r="E340">
            <v>0</v>
          </cell>
        </row>
        <row r="341">
          <cell r="A341">
            <v>320</v>
          </cell>
          <cell r="B341">
            <v>160</v>
          </cell>
          <cell r="C341">
            <v>80</v>
          </cell>
          <cell r="D341">
            <v>26.666666666666668</v>
          </cell>
          <cell r="E341">
            <v>0</v>
          </cell>
        </row>
        <row r="342">
          <cell r="A342">
            <v>321</v>
          </cell>
          <cell r="B342">
            <v>160.5</v>
          </cell>
          <cell r="C342">
            <v>80.25</v>
          </cell>
          <cell r="D342">
            <v>26.75</v>
          </cell>
          <cell r="E342">
            <v>0</v>
          </cell>
        </row>
        <row r="343">
          <cell r="A343">
            <v>322</v>
          </cell>
          <cell r="B343">
            <v>161</v>
          </cell>
          <cell r="C343">
            <v>80.5</v>
          </cell>
          <cell r="D343">
            <v>26.833333333333332</v>
          </cell>
          <cell r="E343">
            <v>0</v>
          </cell>
        </row>
        <row r="344">
          <cell r="A344">
            <v>323</v>
          </cell>
          <cell r="B344">
            <v>161.5</v>
          </cell>
          <cell r="C344">
            <v>80.75</v>
          </cell>
          <cell r="D344">
            <v>26.916666666666668</v>
          </cell>
          <cell r="E344">
            <v>0</v>
          </cell>
        </row>
        <row r="345">
          <cell r="A345">
            <v>324</v>
          </cell>
          <cell r="B345">
            <v>162</v>
          </cell>
          <cell r="C345">
            <v>81</v>
          </cell>
          <cell r="D345">
            <v>27</v>
          </cell>
          <cell r="E345">
            <v>0</v>
          </cell>
        </row>
        <row r="346">
          <cell r="A346">
            <v>325</v>
          </cell>
          <cell r="B346">
            <v>162.5</v>
          </cell>
          <cell r="C346">
            <v>81.25</v>
          </cell>
          <cell r="D346">
            <v>27.083333333333332</v>
          </cell>
          <cell r="E346">
            <v>0</v>
          </cell>
        </row>
        <row r="347">
          <cell r="A347">
            <v>326</v>
          </cell>
          <cell r="B347">
            <v>163</v>
          </cell>
          <cell r="C347">
            <v>81.5</v>
          </cell>
          <cell r="D347">
            <v>27.166666666666668</v>
          </cell>
          <cell r="E347">
            <v>0</v>
          </cell>
        </row>
        <row r="348">
          <cell r="A348">
            <v>327</v>
          </cell>
          <cell r="B348">
            <v>163.5</v>
          </cell>
          <cell r="C348">
            <v>81.75</v>
          </cell>
          <cell r="D348">
            <v>27.25</v>
          </cell>
          <cell r="E348">
            <v>0</v>
          </cell>
        </row>
        <row r="349">
          <cell r="A349">
            <v>328</v>
          </cell>
          <cell r="B349">
            <v>164</v>
          </cell>
          <cell r="C349">
            <v>82</v>
          </cell>
          <cell r="D349">
            <v>27.333333333333332</v>
          </cell>
          <cell r="E349">
            <v>0</v>
          </cell>
        </row>
        <row r="350">
          <cell r="A350">
            <v>329</v>
          </cell>
          <cell r="B350">
            <v>164.5</v>
          </cell>
          <cell r="C350">
            <v>82.25</v>
          </cell>
          <cell r="D350">
            <v>27.416666666666668</v>
          </cell>
          <cell r="E350">
            <v>0</v>
          </cell>
        </row>
        <row r="351">
          <cell r="A351">
            <v>330</v>
          </cell>
          <cell r="B351">
            <v>165</v>
          </cell>
          <cell r="C351">
            <v>82.5</v>
          </cell>
          <cell r="D351">
            <v>27.5</v>
          </cell>
          <cell r="E351">
            <v>0</v>
          </cell>
        </row>
        <row r="352">
          <cell r="A352">
            <v>331</v>
          </cell>
          <cell r="B352">
            <v>165.5</v>
          </cell>
          <cell r="C352">
            <v>82.75</v>
          </cell>
          <cell r="D352">
            <v>27.583333333333332</v>
          </cell>
          <cell r="E352">
            <v>0</v>
          </cell>
        </row>
        <row r="353">
          <cell r="A353">
            <v>332</v>
          </cell>
          <cell r="B353">
            <v>166</v>
          </cell>
          <cell r="C353">
            <v>83</v>
          </cell>
          <cell r="D353">
            <v>27.666666666666668</v>
          </cell>
          <cell r="E353">
            <v>0</v>
          </cell>
        </row>
        <row r="354">
          <cell r="A354">
            <v>333</v>
          </cell>
          <cell r="B354">
            <v>166.5</v>
          </cell>
          <cell r="C354">
            <v>83.25</v>
          </cell>
          <cell r="D354">
            <v>27.75</v>
          </cell>
          <cell r="E354">
            <v>0</v>
          </cell>
        </row>
        <row r="355">
          <cell r="A355">
            <v>334</v>
          </cell>
          <cell r="B355">
            <v>167</v>
          </cell>
          <cell r="C355">
            <v>83.5</v>
          </cell>
          <cell r="D355">
            <v>27.833333333333332</v>
          </cell>
          <cell r="E355">
            <v>0</v>
          </cell>
        </row>
        <row r="356">
          <cell r="A356">
            <v>335</v>
          </cell>
          <cell r="B356">
            <v>167.5</v>
          </cell>
          <cell r="C356">
            <v>83.75</v>
          </cell>
          <cell r="D356">
            <v>27.916666666666668</v>
          </cell>
          <cell r="E356">
            <v>0</v>
          </cell>
        </row>
        <row r="357">
          <cell r="A357">
            <v>336</v>
          </cell>
          <cell r="B357">
            <v>168</v>
          </cell>
          <cell r="C357">
            <v>84</v>
          </cell>
          <cell r="D357">
            <v>28</v>
          </cell>
          <cell r="E357">
            <v>0</v>
          </cell>
        </row>
        <row r="358">
          <cell r="A358">
            <v>337</v>
          </cell>
          <cell r="B358">
            <v>168.5</v>
          </cell>
          <cell r="C358">
            <v>84.25</v>
          </cell>
          <cell r="D358">
            <v>28.083333333333332</v>
          </cell>
          <cell r="E358">
            <v>0</v>
          </cell>
        </row>
        <row r="359">
          <cell r="A359">
            <v>338</v>
          </cell>
          <cell r="B359">
            <v>169</v>
          </cell>
          <cell r="C359">
            <v>84.5</v>
          </cell>
          <cell r="D359">
            <v>28.166666666666668</v>
          </cell>
          <cell r="E359">
            <v>0</v>
          </cell>
        </row>
        <row r="360">
          <cell r="A360">
            <v>339</v>
          </cell>
          <cell r="B360">
            <v>169.5</v>
          </cell>
          <cell r="C360">
            <v>84.75</v>
          </cell>
          <cell r="D360">
            <v>28.25</v>
          </cell>
          <cell r="E360">
            <v>0</v>
          </cell>
        </row>
        <row r="361">
          <cell r="A361">
            <v>340</v>
          </cell>
          <cell r="B361">
            <v>170</v>
          </cell>
          <cell r="C361">
            <v>85</v>
          </cell>
          <cell r="D361">
            <v>28.333333333333332</v>
          </cell>
          <cell r="E361">
            <v>0</v>
          </cell>
        </row>
        <row r="362">
          <cell r="A362">
            <v>341</v>
          </cell>
          <cell r="B362">
            <v>170.5</v>
          </cell>
          <cell r="C362">
            <v>85.25</v>
          </cell>
          <cell r="D362">
            <v>28.416666666666668</v>
          </cell>
          <cell r="E362">
            <v>0</v>
          </cell>
        </row>
        <row r="363">
          <cell r="A363">
            <v>342</v>
          </cell>
          <cell r="B363">
            <v>171</v>
          </cell>
          <cell r="C363">
            <v>85.5</v>
          </cell>
          <cell r="D363">
            <v>28.5</v>
          </cell>
          <cell r="E363">
            <v>0</v>
          </cell>
        </row>
        <row r="364">
          <cell r="A364">
            <v>343</v>
          </cell>
          <cell r="B364">
            <v>171.5</v>
          </cell>
          <cell r="C364">
            <v>85.75</v>
          </cell>
          <cell r="D364">
            <v>28.583333333333332</v>
          </cell>
          <cell r="E364">
            <v>0</v>
          </cell>
        </row>
        <row r="365">
          <cell r="A365">
            <v>344</v>
          </cell>
          <cell r="B365">
            <v>172</v>
          </cell>
          <cell r="C365">
            <v>86</v>
          </cell>
          <cell r="D365">
            <v>28.666666666666668</v>
          </cell>
          <cell r="E365">
            <v>0</v>
          </cell>
        </row>
        <row r="366">
          <cell r="A366">
            <v>345</v>
          </cell>
          <cell r="B366">
            <v>172.5</v>
          </cell>
          <cell r="C366">
            <v>86.25</v>
          </cell>
          <cell r="D366">
            <v>28.75</v>
          </cell>
          <cell r="E366">
            <v>0</v>
          </cell>
        </row>
        <row r="367">
          <cell r="A367">
            <v>346</v>
          </cell>
          <cell r="B367">
            <v>173</v>
          </cell>
          <cell r="C367">
            <v>86.5</v>
          </cell>
          <cell r="D367">
            <v>28.833333333333332</v>
          </cell>
          <cell r="E367">
            <v>0</v>
          </cell>
        </row>
        <row r="368">
          <cell r="A368">
            <v>347</v>
          </cell>
          <cell r="B368">
            <v>173.5</v>
          </cell>
          <cell r="C368">
            <v>86.75</v>
          </cell>
          <cell r="D368">
            <v>28.916666666666668</v>
          </cell>
          <cell r="E368">
            <v>0</v>
          </cell>
        </row>
        <row r="369">
          <cell r="A369">
            <v>348</v>
          </cell>
          <cell r="B369">
            <v>174</v>
          </cell>
          <cell r="C369">
            <v>87</v>
          </cell>
          <cell r="D369">
            <v>29</v>
          </cell>
          <cell r="E369">
            <v>0</v>
          </cell>
        </row>
        <row r="370">
          <cell r="A370">
            <v>349</v>
          </cell>
          <cell r="B370">
            <v>174.5</v>
          </cell>
          <cell r="C370">
            <v>87.25</v>
          </cell>
          <cell r="D370">
            <v>29.083333333333332</v>
          </cell>
          <cell r="E370">
            <v>0</v>
          </cell>
        </row>
        <row r="371">
          <cell r="A371">
            <v>350</v>
          </cell>
          <cell r="B371">
            <v>175</v>
          </cell>
          <cell r="C371">
            <v>87.5</v>
          </cell>
          <cell r="D371">
            <v>29.166666666666668</v>
          </cell>
          <cell r="E371">
            <v>0</v>
          </cell>
        </row>
        <row r="372">
          <cell r="A372">
            <v>351</v>
          </cell>
          <cell r="B372">
            <v>175.5</v>
          </cell>
          <cell r="C372">
            <v>87.75</v>
          </cell>
          <cell r="D372">
            <v>29.25</v>
          </cell>
          <cell r="E372">
            <v>0</v>
          </cell>
        </row>
        <row r="373">
          <cell r="A373">
            <v>352</v>
          </cell>
          <cell r="B373">
            <v>176</v>
          </cell>
          <cell r="C373">
            <v>88</v>
          </cell>
          <cell r="D373">
            <v>29.333333333333332</v>
          </cell>
          <cell r="E373">
            <v>0</v>
          </cell>
        </row>
        <row r="374">
          <cell r="A374">
            <v>353</v>
          </cell>
          <cell r="B374">
            <v>176.5</v>
          </cell>
          <cell r="C374">
            <v>88.25</v>
          </cell>
          <cell r="D374">
            <v>29.416666666666668</v>
          </cell>
          <cell r="E374">
            <v>0</v>
          </cell>
        </row>
        <row r="375">
          <cell r="A375">
            <v>354</v>
          </cell>
          <cell r="B375">
            <v>177</v>
          </cell>
          <cell r="C375">
            <v>88.5</v>
          </cell>
          <cell r="D375">
            <v>29.5</v>
          </cell>
          <cell r="E375">
            <v>0</v>
          </cell>
        </row>
        <row r="376">
          <cell r="A376">
            <v>355</v>
          </cell>
          <cell r="B376">
            <v>177.5</v>
          </cell>
          <cell r="C376">
            <v>88.75</v>
          </cell>
          <cell r="D376">
            <v>29.583333333333332</v>
          </cell>
          <cell r="E376">
            <v>0</v>
          </cell>
        </row>
        <row r="377">
          <cell r="A377">
            <v>356</v>
          </cell>
          <cell r="B377">
            <v>178</v>
          </cell>
          <cell r="C377">
            <v>89</v>
          </cell>
          <cell r="D377">
            <v>29.666666666666668</v>
          </cell>
          <cell r="E377">
            <v>0</v>
          </cell>
        </row>
        <row r="378">
          <cell r="A378">
            <v>357</v>
          </cell>
          <cell r="B378">
            <v>178.5</v>
          </cell>
          <cell r="C378">
            <v>89.25</v>
          </cell>
          <cell r="D378">
            <v>29.75</v>
          </cell>
          <cell r="E378">
            <v>0</v>
          </cell>
        </row>
        <row r="379">
          <cell r="A379">
            <v>358</v>
          </cell>
          <cell r="B379">
            <v>179</v>
          </cell>
          <cell r="C379">
            <v>89.5</v>
          </cell>
          <cell r="D379">
            <v>29.833333333333332</v>
          </cell>
          <cell r="E379">
            <v>0</v>
          </cell>
        </row>
        <row r="380">
          <cell r="A380">
            <v>359</v>
          </cell>
          <cell r="B380">
            <v>179.5</v>
          </cell>
          <cell r="C380">
            <v>89.75</v>
          </cell>
          <cell r="D380">
            <v>29.916666666666668</v>
          </cell>
          <cell r="E380">
            <v>0</v>
          </cell>
        </row>
        <row r="381">
          <cell r="A381">
            <v>360</v>
          </cell>
          <cell r="B381">
            <v>180</v>
          </cell>
          <cell r="C381">
            <v>90</v>
          </cell>
          <cell r="D381">
            <v>30</v>
          </cell>
          <cell r="E381">
            <v>0</v>
          </cell>
        </row>
      </sheetData>
      <sheetData sheetId="2">
        <row r="17">
          <cell r="AG17">
            <v>21.929560122144</v>
          </cell>
        </row>
        <row r="18">
          <cell r="AA18">
            <v>3.2351193962947944</v>
          </cell>
        </row>
        <row r="22">
          <cell r="A22">
            <v>1</v>
          </cell>
          <cell r="B22">
            <v>0.5</v>
          </cell>
          <cell r="C22">
            <v>0.25</v>
          </cell>
          <cell r="D22">
            <v>8.3333333333333329E-2</v>
          </cell>
          <cell r="E22">
            <v>9934253.98126591</v>
          </cell>
        </row>
        <row r="23">
          <cell r="A23">
            <v>2</v>
          </cell>
          <cell r="B23">
            <v>1</v>
          </cell>
          <cell r="C23">
            <v>0.5</v>
          </cell>
          <cell r="D23">
            <v>0.16666666666666666</v>
          </cell>
          <cell r="E23">
            <v>9868633.6063497607</v>
          </cell>
        </row>
        <row r="24">
          <cell r="A24">
            <v>3</v>
          </cell>
          <cell r="B24">
            <v>1.5</v>
          </cell>
          <cell r="C24">
            <v>0.75</v>
          </cell>
          <cell r="D24">
            <v>0.25</v>
          </cell>
          <cell r="E24">
            <v>9803138.6618294269</v>
          </cell>
        </row>
        <row r="25">
          <cell r="A25">
            <v>4</v>
          </cell>
          <cell r="B25">
            <v>2</v>
          </cell>
          <cell r="C25">
            <v>1</v>
          </cell>
          <cell r="D25">
            <v>0.33333333333333331</v>
          </cell>
          <cell r="E25">
            <v>9737768.9346373174</v>
          </cell>
        </row>
        <row r="26">
          <cell r="A26">
            <v>5</v>
          </cell>
          <cell r="B26">
            <v>2.5</v>
          </cell>
          <cell r="C26">
            <v>1.25</v>
          </cell>
          <cell r="D26">
            <v>0.41666666666666669</v>
          </cell>
          <cell r="E26">
            <v>9672524.2120597865</v>
          </cell>
        </row>
        <row r="27">
          <cell r="A27">
            <v>6</v>
          </cell>
          <cell r="B27">
            <v>3</v>
          </cell>
          <cell r="C27">
            <v>1.5</v>
          </cell>
          <cell r="D27">
            <v>0.5</v>
          </cell>
          <cell r="E27">
            <v>9607404.2817365453</v>
          </cell>
        </row>
        <row r="28">
          <cell r="A28">
            <v>7</v>
          </cell>
          <cell r="B28">
            <v>3.5</v>
          </cell>
          <cell r="C28">
            <v>1.75</v>
          </cell>
          <cell r="D28">
            <v>0.58333333333333337</v>
          </cell>
          <cell r="E28">
            <v>9542408.9316600878</v>
          </cell>
        </row>
        <row r="29">
          <cell r="A29">
            <v>8</v>
          </cell>
          <cell r="B29">
            <v>4</v>
          </cell>
          <cell r="C29">
            <v>2</v>
          </cell>
          <cell r="D29">
            <v>0.66666666666666663</v>
          </cell>
          <cell r="E29">
            <v>9477537.9501750972</v>
          </cell>
        </row>
        <row r="30">
          <cell r="A30">
            <v>9</v>
          </cell>
          <cell r="B30">
            <v>4.5</v>
          </cell>
          <cell r="C30">
            <v>2.25</v>
          </cell>
          <cell r="D30">
            <v>0.75</v>
          </cell>
          <cell r="E30">
            <v>9412791.1259778682</v>
          </cell>
        </row>
        <row r="31">
          <cell r="A31">
            <v>10</v>
          </cell>
          <cell r="B31">
            <v>5</v>
          </cell>
          <cell r="C31">
            <v>2.5</v>
          </cell>
          <cell r="D31">
            <v>0.83333333333333337</v>
          </cell>
          <cell r="E31">
            <v>9348168.248115724</v>
          </cell>
        </row>
        <row r="32">
          <cell r="A32">
            <v>11</v>
          </cell>
          <cell r="B32">
            <v>5.5</v>
          </cell>
          <cell r="C32">
            <v>2.75</v>
          </cell>
          <cell r="D32">
            <v>0.91666666666666663</v>
          </cell>
          <cell r="E32">
            <v>9283669.1059864387</v>
          </cell>
        </row>
        <row r="33">
          <cell r="A33">
            <v>12</v>
          </cell>
          <cell r="B33">
            <v>6</v>
          </cell>
          <cell r="C33">
            <v>3</v>
          </cell>
          <cell r="D33">
            <v>1</v>
          </cell>
          <cell r="E33">
            <v>9219293.4893376548</v>
          </cell>
        </row>
        <row r="34">
          <cell r="A34">
            <v>13</v>
          </cell>
          <cell r="B34">
            <v>6.5</v>
          </cell>
          <cell r="C34">
            <v>3.25</v>
          </cell>
          <cell r="D34">
            <v>1.0833333333333333</v>
          </cell>
          <cell r="E34">
            <v>9155041.1882663034</v>
          </cell>
        </row>
        <row r="35">
          <cell r="A35">
            <v>14</v>
          </cell>
          <cell r="B35">
            <v>7</v>
          </cell>
          <cell r="C35">
            <v>3.5</v>
          </cell>
          <cell r="D35">
            <v>1.1666666666666667</v>
          </cell>
          <cell r="E35">
            <v>9090911.9932180308</v>
          </cell>
        </row>
        <row r="36">
          <cell r="A36">
            <v>15</v>
          </cell>
          <cell r="B36">
            <v>7.5</v>
          </cell>
          <cell r="C36">
            <v>3.75</v>
          </cell>
          <cell r="D36">
            <v>1.25</v>
          </cell>
          <cell r="E36">
            <v>9026905.6949866209</v>
          </cell>
        </row>
        <row r="37">
          <cell r="A37">
            <v>16</v>
          </cell>
          <cell r="B37">
            <v>8</v>
          </cell>
          <cell r="C37">
            <v>4</v>
          </cell>
          <cell r="D37">
            <v>1.3333333333333333</v>
          </cell>
          <cell r="E37">
            <v>8963022.0847134162</v>
          </cell>
        </row>
        <row r="38">
          <cell r="A38">
            <v>17</v>
          </cell>
          <cell r="B38">
            <v>8.5</v>
          </cell>
          <cell r="C38">
            <v>4.25</v>
          </cell>
          <cell r="D38">
            <v>1.4166666666666667</v>
          </cell>
          <cell r="E38">
            <v>8899260.9538867474</v>
          </cell>
        </row>
        <row r="39">
          <cell r="A39">
            <v>18</v>
          </cell>
          <cell r="B39">
            <v>9</v>
          </cell>
          <cell r="C39">
            <v>4.5</v>
          </cell>
          <cell r="D39">
            <v>1.5</v>
          </cell>
          <cell r="E39">
            <v>8835622.0943413563</v>
          </cell>
        </row>
        <row r="40">
          <cell r="A40">
            <v>19</v>
          </cell>
          <cell r="B40">
            <v>9.5</v>
          </cell>
          <cell r="C40">
            <v>4.75</v>
          </cell>
          <cell r="D40">
            <v>1.5833333333333333</v>
          </cell>
          <cell r="E40">
            <v>8772105.298257824</v>
          </cell>
        </row>
        <row r="41">
          <cell r="A41">
            <v>20</v>
          </cell>
          <cell r="B41">
            <v>10</v>
          </cell>
          <cell r="C41">
            <v>5</v>
          </cell>
          <cell r="D41">
            <v>1.6666666666666667</v>
          </cell>
          <cell r="E41">
            <v>8708710.3581620008</v>
          </cell>
        </row>
        <row r="42">
          <cell r="A42">
            <v>21</v>
          </cell>
          <cell r="B42">
            <v>10.5</v>
          </cell>
          <cell r="C42">
            <v>5.25</v>
          </cell>
          <cell r="D42">
            <v>1.75</v>
          </cell>
          <cell r="E42">
            <v>8645437.0669244286</v>
          </cell>
        </row>
        <row r="43">
          <cell r="A43">
            <v>22</v>
          </cell>
          <cell r="B43">
            <v>11</v>
          </cell>
          <cell r="C43">
            <v>5.5</v>
          </cell>
          <cell r="D43">
            <v>1.8333333333333333</v>
          </cell>
          <cell r="E43">
            <v>8582285.2177597843</v>
          </cell>
        </row>
        <row r="44">
          <cell r="A44">
            <v>23</v>
          </cell>
          <cell r="B44">
            <v>11.5</v>
          </cell>
          <cell r="C44">
            <v>5.75</v>
          </cell>
          <cell r="D44">
            <v>1.9166666666666667</v>
          </cell>
          <cell r="E44">
            <v>8519254.6042262968</v>
          </cell>
        </row>
        <row r="45">
          <cell r="A45">
            <v>24</v>
          </cell>
          <cell r="B45">
            <v>12</v>
          </cell>
          <cell r="C45">
            <v>6</v>
          </cell>
          <cell r="D45">
            <v>2</v>
          </cell>
          <cell r="E45">
            <v>8456345.020225184</v>
          </cell>
        </row>
        <row r="46">
          <cell r="A46">
            <v>25</v>
          </cell>
          <cell r="B46">
            <v>12.5</v>
          </cell>
          <cell r="C46">
            <v>6.25</v>
          </cell>
          <cell r="D46">
            <v>2.0833333333333335</v>
          </cell>
          <cell r="E46">
            <v>8393556.260000091</v>
          </cell>
        </row>
        <row r="47">
          <cell r="A47">
            <v>26</v>
          </cell>
          <cell r="B47">
            <v>13</v>
          </cell>
          <cell r="C47">
            <v>6.5</v>
          </cell>
          <cell r="D47">
            <v>2.1666666666666665</v>
          </cell>
          <cell r="E47">
            <v>8330888.1181365121</v>
          </cell>
        </row>
        <row r="48">
          <cell r="A48">
            <v>27</v>
          </cell>
          <cell r="B48">
            <v>13.5</v>
          </cell>
          <cell r="C48">
            <v>6.75</v>
          </cell>
          <cell r="D48">
            <v>2.25</v>
          </cell>
          <cell r="E48">
            <v>8268340.3895612387</v>
          </cell>
        </row>
        <row r="49">
          <cell r="A49">
            <v>28</v>
          </cell>
          <cell r="B49">
            <v>14</v>
          </cell>
          <cell r="C49">
            <v>7</v>
          </cell>
          <cell r="D49">
            <v>2.3333333333333335</v>
          </cell>
          <cell r="E49">
            <v>8205912.8695417847</v>
          </cell>
        </row>
        <row r="50">
          <cell r="A50">
            <v>29</v>
          </cell>
          <cell r="B50">
            <v>14.5</v>
          </cell>
          <cell r="C50">
            <v>7.25</v>
          </cell>
          <cell r="D50">
            <v>2.4166666666666665</v>
          </cell>
          <cell r="E50">
            <v>8143605.3536858289</v>
          </cell>
        </row>
        <row r="51">
          <cell r="A51">
            <v>30</v>
          </cell>
          <cell r="B51">
            <v>15</v>
          </cell>
          <cell r="C51">
            <v>7.5</v>
          </cell>
          <cell r="D51">
            <v>2.5</v>
          </cell>
          <cell r="E51">
            <v>8081417.6379406499</v>
          </cell>
        </row>
        <row r="52">
          <cell r="A52">
            <v>31</v>
          </cell>
          <cell r="B52">
            <v>15.5</v>
          </cell>
          <cell r="C52">
            <v>7.75</v>
          </cell>
          <cell r="D52">
            <v>2.5833333333333335</v>
          </cell>
          <cell r="E52">
            <v>8019349.5185925653</v>
          </cell>
        </row>
        <row r="53">
          <cell r="A53">
            <v>32</v>
          </cell>
          <cell r="B53">
            <v>16</v>
          </cell>
          <cell r="C53">
            <v>8</v>
          </cell>
          <cell r="D53">
            <v>2.6666666666666665</v>
          </cell>
          <cell r="E53">
            <v>7957400.7922663707</v>
          </cell>
        </row>
        <row r="54">
          <cell r="A54">
            <v>33</v>
          </cell>
          <cell r="B54">
            <v>16.5</v>
          </cell>
          <cell r="C54">
            <v>8.25</v>
          </cell>
          <cell r="D54">
            <v>2.75</v>
          </cell>
          <cell r="E54">
            <v>7895571.2559247809</v>
          </cell>
        </row>
        <row r="55">
          <cell r="A55">
            <v>34</v>
          </cell>
          <cell r="B55">
            <v>17</v>
          </cell>
          <cell r="C55">
            <v>8.5</v>
          </cell>
          <cell r="D55">
            <v>2.8333333333333335</v>
          </cell>
          <cell r="E55">
            <v>7833860.7068678699</v>
          </cell>
        </row>
        <row r="56">
          <cell r="A56">
            <v>35</v>
          </cell>
          <cell r="B56">
            <v>17.5</v>
          </cell>
          <cell r="C56">
            <v>8.75</v>
          </cell>
          <cell r="D56">
            <v>2.9166666666666665</v>
          </cell>
          <cell r="E56">
            <v>7772268.942732513</v>
          </cell>
        </row>
        <row r="57">
          <cell r="A57">
            <v>36</v>
          </cell>
          <cell r="B57">
            <v>18</v>
          </cell>
          <cell r="C57">
            <v>9</v>
          </cell>
          <cell r="D57">
            <v>3</v>
          </cell>
          <cell r="E57">
            <v>7710795.7614918305</v>
          </cell>
        </row>
        <row r="58">
          <cell r="A58">
            <v>37</v>
          </cell>
          <cell r="B58">
            <v>18.5</v>
          </cell>
          <cell r="C58">
            <v>9.25</v>
          </cell>
          <cell r="D58">
            <v>3.0833333333333335</v>
          </cell>
          <cell r="E58">
            <v>7649440.9614546318</v>
          </cell>
        </row>
        <row r="59">
          <cell r="A59">
            <v>38</v>
          </cell>
          <cell r="B59">
            <v>19</v>
          </cell>
          <cell r="C59">
            <v>9.5</v>
          </cell>
          <cell r="D59">
            <v>3.1666666666666665</v>
          </cell>
          <cell r="E59">
            <v>7588204.3412648598</v>
          </cell>
        </row>
        <row r="60">
          <cell r="A60">
            <v>39</v>
          </cell>
          <cell r="B60">
            <v>19.5</v>
          </cell>
          <cell r="C60">
            <v>9.75</v>
          </cell>
          <cell r="D60">
            <v>3.25</v>
          </cell>
          <cell r="E60">
            <v>7527085.6999010378</v>
          </cell>
        </row>
        <row r="61">
          <cell r="A61">
            <v>40</v>
          </cell>
          <cell r="B61">
            <v>20</v>
          </cell>
          <cell r="C61">
            <v>10</v>
          </cell>
          <cell r="D61">
            <v>3.3333333333333335</v>
          </cell>
          <cell r="E61">
            <v>7466084.8366757147</v>
          </cell>
        </row>
        <row r="62">
          <cell r="A62">
            <v>41</v>
          </cell>
          <cell r="B62">
            <v>20.5</v>
          </cell>
          <cell r="C62">
            <v>10.25</v>
          </cell>
          <cell r="D62">
            <v>3.4166666666666665</v>
          </cell>
          <cell r="E62">
            <v>7405201.5512349121</v>
          </cell>
        </row>
        <row r="63">
          <cell r="A63">
            <v>42</v>
          </cell>
          <cell r="B63">
            <v>21</v>
          </cell>
          <cell r="C63">
            <v>10.5</v>
          </cell>
          <cell r="D63">
            <v>3.5</v>
          </cell>
          <cell r="E63">
            <v>7344435.6435575755</v>
          </cell>
        </row>
        <row r="64">
          <cell r="A64">
            <v>43</v>
          </cell>
          <cell r="B64">
            <v>21.5</v>
          </cell>
          <cell r="C64">
            <v>10.75</v>
          </cell>
          <cell r="D64">
            <v>3.5833333333333335</v>
          </cell>
          <cell r="E64">
            <v>7283786.9139550226</v>
          </cell>
        </row>
        <row r="65">
          <cell r="A65">
            <v>44</v>
          </cell>
          <cell r="B65">
            <v>22</v>
          </cell>
          <cell r="C65">
            <v>11</v>
          </cell>
          <cell r="D65">
            <v>3.6666666666666665</v>
          </cell>
          <cell r="E65">
            <v>7223255.1630703909</v>
          </cell>
        </row>
        <row r="66">
          <cell r="A66">
            <v>45</v>
          </cell>
          <cell r="B66">
            <v>22.5</v>
          </cell>
          <cell r="C66">
            <v>11.25</v>
          </cell>
          <cell r="D66">
            <v>3.75</v>
          </cell>
          <cell r="E66">
            <v>7162840.1918780934</v>
          </cell>
        </row>
        <row r="67">
          <cell r="A67">
            <v>46</v>
          </cell>
          <cell r="B67">
            <v>23</v>
          </cell>
          <cell r="C67">
            <v>11.5</v>
          </cell>
          <cell r="D67">
            <v>3.8333333333333335</v>
          </cell>
          <cell r="E67">
            <v>7102541.8016832694</v>
          </cell>
        </row>
        <row r="68">
          <cell r="A68">
            <v>47</v>
          </cell>
          <cell r="B68">
            <v>23.5</v>
          </cell>
          <cell r="C68">
            <v>11.75</v>
          </cell>
          <cell r="D68">
            <v>3.9166666666666665</v>
          </cell>
          <cell r="E68">
            <v>7042359.7941212347</v>
          </cell>
        </row>
        <row r="69">
          <cell r="A69">
            <v>48</v>
          </cell>
          <cell r="B69">
            <v>24</v>
          </cell>
          <cell r="C69">
            <v>12</v>
          </cell>
          <cell r="D69">
            <v>4</v>
          </cell>
          <cell r="E69">
            <v>6982293.9711569389</v>
          </cell>
        </row>
        <row r="70">
          <cell r="A70">
            <v>49</v>
          </cell>
          <cell r="B70">
            <v>24.5</v>
          </cell>
          <cell r="C70">
            <v>12.25</v>
          </cell>
          <cell r="D70">
            <v>4.083333333333333</v>
          </cell>
          <cell r="E70">
            <v>6922344.1350844195</v>
          </cell>
        </row>
        <row r="71">
          <cell r="A71">
            <v>50</v>
          </cell>
          <cell r="B71">
            <v>25</v>
          </cell>
          <cell r="C71">
            <v>12.5</v>
          </cell>
          <cell r="D71">
            <v>4.166666666666667</v>
          </cell>
          <cell r="E71">
            <v>6862510.0885262555</v>
          </cell>
        </row>
        <row r="72">
          <cell r="A72">
            <v>51</v>
          </cell>
          <cell r="B72">
            <v>25.5</v>
          </cell>
          <cell r="C72">
            <v>12.75</v>
          </cell>
          <cell r="D72">
            <v>4.25</v>
          </cell>
          <cell r="E72">
            <v>6802791.6344330292</v>
          </cell>
        </row>
        <row r="73">
          <cell r="A73">
            <v>52</v>
          </cell>
          <cell r="B73">
            <v>26</v>
          </cell>
          <cell r="C73">
            <v>13</v>
          </cell>
          <cell r="D73">
            <v>4.333333333333333</v>
          </cell>
          <cell r="E73">
            <v>6743188.5760827772</v>
          </cell>
        </row>
        <row r="74">
          <cell r="A74">
            <v>53</v>
          </cell>
          <cell r="B74">
            <v>26.5</v>
          </cell>
          <cell r="C74">
            <v>13.25</v>
          </cell>
          <cell r="D74">
            <v>4.416666666666667</v>
          </cell>
          <cell r="E74">
            <v>6683700.7170804553</v>
          </cell>
        </row>
        <row r="75">
          <cell r="A75">
            <v>54</v>
          </cell>
          <cell r="B75">
            <v>27</v>
          </cell>
          <cell r="C75">
            <v>13.5</v>
          </cell>
          <cell r="D75">
            <v>4.5</v>
          </cell>
          <cell r="E75">
            <v>6624327.8613573918</v>
          </cell>
        </row>
        <row r="76">
          <cell r="A76">
            <v>55</v>
          </cell>
          <cell r="B76">
            <v>27.5</v>
          </cell>
          <cell r="C76">
            <v>13.75</v>
          </cell>
          <cell r="D76">
            <v>4.583333333333333</v>
          </cell>
          <cell r="E76">
            <v>6565069.8131707534</v>
          </cell>
        </row>
        <row r="77">
          <cell r="A77">
            <v>56</v>
          </cell>
          <cell r="B77">
            <v>28</v>
          </cell>
          <cell r="C77">
            <v>14</v>
          </cell>
          <cell r="D77">
            <v>4.666666666666667</v>
          </cell>
          <cell r="E77">
            <v>6505926.3771030018</v>
          </cell>
        </row>
        <row r="78">
          <cell r="A78">
            <v>57</v>
          </cell>
          <cell r="B78">
            <v>28.5</v>
          </cell>
          <cell r="C78">
            <v>14.25</v>
          </cell>
          <cell r="D78">
            <v>4.75</v>
          </cell>
          <cell r="E78">
            <v>6446897.3580613583</v>
          </cell>
        </row>
        <row r="79">
          <cell r="A79">
            <v>58</v>
          </cell>
          <cell r="B79">
            <v>29</v>
          </cell>
          <cell r="C79">
            <v>14.5</v>
          </cell>
          <cell r="D79">
            <v>4.833333333333333</v>
          </cell>
          <cell r="E79">
            <v>6387982.5612772657</v>
          </cell>
        </row>
        <row r="80">
          <cell r="A80">
            <v>59</v>
          </cell>
          <cell r="B80">
            <v>29.5</v>
          </cell>
          <cell r="C80">
            <v>14.75</v>
          </cell>
          <cell r="D80">
            <v>4.916666666666667</v>
          </cell>
          <cell r="E80">
            <v>6329181.7923058541</v>
          </cell>
        </row>
        <row r="81">
          <cell r="A81">
            <v>60</v>
          </cell>
          <cell r="B81">
            <v>30</v>
          </cell>
          <cell r="C81">
            <v>15</v>
          </cell>
          <cell r="D81">
            <v>5</v>
          </cell>
          <cell r="E81">
            <v>6270494.8570254026</v>
          </cell>
        </row>
        <row r="82">
          <cell r="A82">
            <v>61</v>
          </cell>
          <cell r="B82">
            <v>30.5</v>
          </cell>
          <cell r="C82">
            <v>15.25</v>
          </cell>
          <cell r="D82">
            <v>5.083333333333333</v>
          </cell>
          <cell r="E82">
            <v>6211921.5616368065</v>
          </cell>
        </row>
        <row r="83">
          <cell r="A83">
            <v>62</v>
          </cell>
          <cell r="B83">
            <v>31</v>
          </cell>
          <cell r="C83">
            <v>15.5</v>
          </cell>
          <cell r="D83">
            <v>5.166666666666667</v>
          </cell>
          <cell r="E83">
            <v>6153461.7126630442</v>
          </cell>
        </row>
        <row r="84">
          <cell r="A84">
            <v>63</v>
          </cell>
          <cell r="B84">
            <v>31.5</v>
          </cell>
          <cell r="C84">
            <v>15.75</v>
          </cell>
          <cell r="D84">
            <v>5.25</v>
          </cell>
          <cell r="E84">
            <v>6095115.1169486428</v>
          </cell>
        </row>
        <row r="85">
          <cell r="A85">
            <v>64</v>
          </cell>
          <cell r="B85">
            <v>32</v>
          </cell>
          <cell r="C85">
            <v>16</v>
          </cell>
          <cell r="D85">
            <v>5.333333333333333</v>
          </cell>
          <cell r="E85">
            <v>6036881.5816591484</v>
          </cell>
        </row>
        <row r="86">
          <cell r="A86">
            <v>65</v>
          </cell>
          <cell r="B86">
            <v>32.5</v>
          </cell>
          <cell r="C86">
            <v>16.25</v>
          </cell>
          <cell r="D86">
            <v>5.416666666666667</v>
          </cell>
          <cell r="E86">
            <v>5978760.9142805934</v>
          </cell>
        </row>
        <row r="87">
          <cell r="A87">
            <v>66</v>
          </cell>
          <cell r="B87">
            <v>33</v>
          </cell>
          <cell r="C87">
            <v>16.5</v>
          </cell>
          <cell r="D87">
            <v>5.5</v>
          </cell>
          <cell r="E87">
            <v>5920752.9226189693</v>
          </cell>
        </row>
        <row r="88">
          <cell r="A88">
            <v>67</v>
          </cell>
          <cell r="B88">
            <v>33.5</v>
          </cell>
          <cell r="C88">
            <v>16.75</v>
          </cell>
          <cell r="D88">
            <v>5.583333333333333</v>
          </cell>
          <cell r="E88">
            <v>5862857.4147996949</v>
          </cell>
        </row>
        <row r="89">
          <cell r="A89">
            <v>68</v>
          </cell>
          <cell r="B89">
            <v>34</v>
          </cell>
          <cell r="C89">
            <v>17</v>
          </cell>
          <cell r="D89">
            <v>5.666666666666667</v>
          </cell>
          <cell r="E89">
            <v>5805074.1992670875</v>
          </cell>
        </row>
        <row r="90">
          <cell r="A90">
            <v>69</v>
          </cell>
          <cell r="B90">
            <v>34.5</v>
          </cell>
          <cell r="C90">
            <v>17.25</v>
          </cell>
          <cell r="D90">
            <v>5.75</v>
          </cell>
          <cell r="E90">
            <v>5747403.0847838372</v>
          </cell>
        </row>
        <row r="91">
          <cell r="A91">
            <v>70</v>
          </cell>
          <cell r="B91">
            <v>35</v>
          </cell>
          <cell r="C91">
            <v>17.5</v>
          </cell>
          <cell r="D91">
            <v>5.833333333333333</v>
          </cell>
          <cell r="E91">
            <v>5689843.8804304833</v>
          </cell>
        </row>
        <row r="92">
          <cell r="A92">
            <v>71</v>
          </cell>
          <cell r="B92">
            <v>35.5</v>
          </cell>
          <cell r="C92">
            <v>17.75</v>
          </cell>
          <cell r="D92">
            <v>5.916666666666667</v>
          </cell>
          <cell r="E92">
            <v>5632396.3956048796</v>
          </cell>
        </row>
        <row r="93">
          <cell r="A93">
            <v>72</v>
          </cell>
          <cell r="B93">
            <v>36</v>
          </cell>
          <cell r="C93">
            <v>18</v>
          </cell>
          <cell r="D93">
            <v>6</v>
          </cell>
          <cell r="E93">
            <v>5575060.4400216797</v>
          </cell>
        </row>
        <row r="94">
          <cell r="A94">
            <v>73</v>
          </cell>
          <cell r="B94">
            <v>36.5</v>
          </cell>
          <cell r="C94">
            <v>18.25</v>
          </cell>
          <cell r="D94">
            <v>6.083333333333333</v>
          </cell>
          <cell r="E94">
            <v>5517835.8237118088</v>
          </cell>
        </row>
        <row r="95">
          <cell r="A95">
            <v>74</v>
          </cell>
          <cell r="B95">
            <v>37</v>
          </cell>
          <cell r="C95">
            <v>18.5</v>
          </cell>
          <cell r="D95">
            <v>6.166666666666667</v>
          </cell>
          <cell r="E95">
            <v>5460722.357021939</v>
          </cell>
        </row>
        <row r="96">
          <cell r="A96">
            <v>75</v>
          </cell>
          <cell r="B96">
            <v>37.5</v>
          </cell>
          <cell r="C96">
            <v>18.75</v>
          </cell>
          <cell r="D96">
            <v>6.25</v>
          </cell>
          <cell r="E96">
            <v>5403719.8506139694</v>
          </cell>
        </row>
        <row r="97">
          <cell r="A97">
            <v>76</v>
          </cell>
          <cell r="B97">
            <v>38</v>
          </cell>
          <cell r="C97">
            <v>19</v>
          </cell>
          <cell r="D97">
            <v>6.333333333333333</v>
          </cell>
          <cell r="E97">
            <v>5346828.1154645029</v>
          </cell>
        </row>
        <row r="98">
          <cell r="A98">
            <v>77</v>
          </cell>
          <cell r="B98">
            <v>38.5</v>
          </cell>
          <cell r="C98">
            <v>19.25</v>
          </cell>
          <cell r="D98">
            <v>6.416666666666667</v>
          </cell>
          <cell r="E98">
            <v>5290046.9628643291</v>
          </cell>
        </row>
        <row r="99">
          <cell r="A99">
            <v>78</v>
          </cell>
          <cell r="B99">
            <v>39</v>
          </cell>
          <cell r="C99">
            <v>19.5</v>
          </cell>
          <cell r="D99">
            <v>6.5</v>
          </cell>
          <cell r="E99">
            <v>5233376.204417902</v>
          </cell>
        </row>
        <row r="100">
          <cell r="A100">
            <v>79</v>
          </cell>
          <cell r="B100">
            <v>39.5</v>
          </cell>
          <cell r="C100">
            <v>19.75</v>
          </cell>
          <cell r="D100">
            <v>6.583333333333333</v>
          </cell>
          <cell r="E100">
            <v>5176815.652042822</v>
          </cell>
        </row>
        <row r="101">
          <cell r="A101">
            <v>80</v>
          </cell>
          <cell r="B101">
            <v>40</v>
          </cell>
          <cell r="C101">
            <v>20</v>
          </cell>
          <cell r="D101">
            <v>6.666666666666667</v>
          </cell>
          <cell r="E101">
            <v>5120365.1179693164</v>
          </cell>
        </row>
        <row r="102">
          <cell r="A102">
            <v>81</v>
          </cell>
          <cell r="B102">
            <v>40.5</v>
          </cell>
          <cell r="C102">
            <v>20.25</v>
          </cell>
          <cell r="D102">
            <v>6.75</v>
          </cell>
          <cell r="E102">
            <v>5064024.4147397252</v>
          </cell>
        </row>
        <row r="103">
          <cell r="A103">
            <v>82</v>
          </cell>
          <cell r="B103">
            <v>41</v>
          </cell>
          <cell r="C103">
            <v>20.5</v>
          </cell>
          <cell r="D103">
            <v>6.833333333333333</v>
          </cell>
          <cell r="E103">
            <v>5007793.3552079843</v>
          </cell>
        </row>
        <row r="104">
          <cell r="A104">
            <v>83</v>
          </cell>
          <cell r="B104">
            <v>41.5</v>
          </cell>
          <cell r="C104">
            <v>20.75</v>
          </cell>
          <cell r="D104">
            <v>6.916666666666667</v>
          </cell>
          <cell r="E104">
            <v>4951671.7525391085</v>
          </cell>
        </row>
        <row r="105">
          <cell r="A105">
            <v>84</v>
          </cell>
          <cell r="B105">
            <v>42</v>
          </cell>
          <cell r="C105">
            <v>21</v>
          </cell>
          <cell r="D105">
            <v>7</v>
          </cell>
          <cell r="E105">
            <v>4895659.4202086776</v>
          </cell>
        </row>
        <row r="106">
          <cell r="A106">
            <v>85</v>
          </cell>
          <cell r="B106">
            <v>42.5</v>
          </cell>
          <cell r="C106">
            <v>21.25</v>
          </cell>
          <cell r="D106">
            <v>7.083333333333333</v>
          </cell>
          <cell r="E106">
            <v>4839756.1720023258</v>
          </cell>
        </row>
        <row r="107">
          <cell r="A107">
            <v>86</v>
          </cell>
          <cell r="B107">
            <v>43</v>
          </cell>
          <cell r="C107">
            <v>21.5</v>
          </cell>
          <cell r="D107">
            <v>7.166666666666667</v>
          </cell>
          <cell r="E107">
            <v>4783961.8220152222</v>
          </cell>
        </row>
        <row r="108">
          <cell r="A108">
            <v>87</v>
          </cell>
          <cell r="B108">
            <v>43.5</v>
          </cell>
          <cell r="C108">
            <v>21.75</v>
          </cell>
          <cell r="D108">
            <v>7.25</v>
          </cell>
          <cell r="E108">
            <v>4728276.1846515667</v>
          </cell>
        </row>
        <row r="109">
          <cell r="A109">
            <v>88</v>
          </cell>
          <cell r="B109">
            <v>44</v>
          </cell>
          <cell r="C109">
            <v>22</v>
          </cell>
          <cell r="D109">
            <v>7.333333333333333</v>
          </cell>
          <cell r="E109">
            <v>4672699.0746240728</v>
          </cell>
        </row>
        <row r="110">
          <cell r="A110">
            <v>89</v>
          </cell>
          <cell r="B110">
            <v>44.5</v>
          </cell>
          <cell r="C110">
            <v>22.25</v>
          </cell>
          <cell r="D110">
            <v>7.416666666666667</v>
          </cell>
          <cell r="E110">
            <v>4617230.3069534618</v>
          </cell>
        </row>
        <row r="111">
          <cell r="A111">
            <v>90</v>
          </cell>
          <cell r="B111">
            <v>45</v>
          </cell>
          <cell r="C111">
            <v>22.5</v>
          </cell>
          <cell r="D111">
            <v>7.5</v>
          </cell>
          <cell r="E111">
            <v>4561869.696967951</v>
          </cell>
        </row>
        <row r="112">
          <cell r="A112">
            <v>91</v>
          </cell>
          <cell r="B112">
            <v>45.5</v>
          </cell>
          <cell r="C112">
            <v>22.75</v>
          </cell>
          <cell r="D112">
            <v>7.583333333333333</v>
          </cell>
          <cell r="E112">
            <v>4506617.0603027437</v>
          </cell>
        </row>
        <row r="113">
          <cell r="A113">
            <v>92</v>
          </cell>
          <cell r="B113">
            <v>46</v>
          </cell>
          <cell r="C113">
            <v>23</v>
          </cell>
          <cell r="D113">
            <v>7.666666666666667</v>
          </cell>
          <cell r="E113">
            <v>4451472.2128995266</v>
          </cell>
        </row>
        <row r="114">
          <cell r="A114">
            <v>93</v>
          </cell>
          <cell r="B114">
            <v>46.5</v>
          </cell>
          <cell r="C114">
            <v>23.25</v>
          </cell>
          <cell r="D114">
            <v>7.75</v>
          </cell>
          <cell r="E114">
            <v>4396434.9710059566</v>
          </cell>
        </row>
        <row r="115">
          <cell r="A115">
            <v>94</v>
          </cell>
          <cell r="B115">
            <v>47</v>
          </cell>
          <cell r="C115">
            <v>23.5</v>
          </cell>
          <cell r="D115">
            <v>7.833333333333333</v>
          </cell>
          <cell r="E115">
            <v>4341505.1511751609</v>
          </cell>
        </row>
        <row r="116">
          <cell r="A116">
            <v>95</v>
          </cell>
          <cell r="B116">
            <v>47.5</v>
          </cell>
          <cell r="C116">
            <v>23.75</v>
          </cell>
          <cell r="D116">
            <v>7.916666666666667</v>
          </cell>
          <cell r="E116">
            <v>4286682.5702652261</v>
          </cell>
        </row>
        <row r="117">
          <cell r="A117">
            <v>96</v>
          </cell>
          <cell r="B117">
            <v>48</v>
          </cell>
          <cell r="C117">
            <v>24</v>
          </cell>
          <cell r="D117">
            <v>8</v>
          </cell>
          <cell r="E117">
            <v>4231967.0454386985</v>
          </cell>
        </row>
        <row r="118">
          <cell r="A118">
            <v>97</v>
          </cell>
          <cell r="B118">
            <v>48.5</v>
          </cell>
          <cell r="C118">
            <v>24.25</v>
          </cell>
          <cell r="D118">
            <v>8.0833333333333339</v>
          </cell>
          <cell r="E118">
            <v>4177358.3941620775</v>
          </cell>
        </row>
        <row r="119">
          <cell r="A119">
            <v>98</v>
          </cell>
          <cell r="B119">
            <v>49</v>
          </cell>
          <cell r="C119">
            <v>24.5</v>
          </cell>
          <cell r="D119">
            <v>8.1666666666666661</v>
          </cell>
          <cell r="E119">
            <v>4122856.4342053146</v>
          </cell>
        </row>
        <row r="120">
          <cell r="A120">
            <v>99</v>
          </cell>
          <cell r="B120">
            <v>49.5</v>
          </cell>
          <cell r="C120">
            <v>24.75</v>
          </cell>
          <cell r="D120">
            <v>8.25</v>
          </cell>
          <cell r="E120">
            <v>4068460.9836413106</v>
          </cell>
        </row>
        <row r="121">
          <cell r="A121">
            <v>100</v>
          </cell>
          <cell r="B121">
            <v>50</v>
          </cell>
          <cell r="C121">
            <v>25</v>
          </cell>
          <cell r="D121">
            <v>8.3333333333333339</v>
          </cell>
          <cell r="E121">
            <v>4014171.8608454159</v>
          </cell>
        </row>
        <row r="122">
          <cell r="A122">
            <v>101</v>
          </cell>
          <cell r="B122">
            <v>50.5</v>
          </cell>
          <cell r="C122">
            <v>25.25</v>
          </cell>
          <cell r="D122">
            <v>8.4166666666666661</v>
          </cell>
          <cell r="E122">
            <v>3959988.8844949282</v>
          </cell>
        </row>
        <row r="123">
          <cell r="A123">
            <v>102</v>
          </cell>
          <cell r="B123">
            <v>51</v>
          </cell>
          <cell r="C123">
            <v>25.5</v>
          </cell>
          <cell r="D123">
            <v>8.5</v>
          </cell>
          <cell r="E123">
            <v>3905911.8735685949</v>
          </cell>
        </row>
        <row r="124">
          <cell r="A124">
            <v>103</v>
          </cell>
          <cell r="B124">
            <v>51.5</v>
          </cell>
          <cell r="C124">
            <v>25.75</v>
          </cell>
          <cell r="D124">
            <v>8.5833333333333339</v>
          </cell>
          <cell r="E124">
            <v>3851940.6473461138</v>
          </cell>
        </row>
        <row r="125">
          <cell r="A125">
            <v>104</v>
          </cell>
          <cell r="B125">
            <v>52</v>
          </cell>
          <cell r="C125">
            <v>26</v>
          </cell>
          <cell r="D125">
            <v>8.6666666666666661</v>
          </cell>
          <cell r="E125">
            <v>3798075.0254076356</v>
          </cell>
        </row>
        <row r="126">
          <cell r="A126">
            <v>105</v>
          </cell>
          <cell r="B126">
            <v>52.5</v>
          </cell>
          <cell r="C126">
            <v>26.25</v>
          </cell>
          <cell r="D126">
            <v>8.75</v>
          </cell>
          <cell r="E126">
            <v>3744314.8276332663</v>
          </cell>
        </row>
        <row r="127">
          <cell r="A127">
            <v>106</v>
          </cell>
          <cell r="B127">
            <v>53</v>
          </cell>
          <cell r="C127">
            <v>26.5</v>
          </cell>
          <cell r="D127">
            <v>8.8333333333333339</v>
          </cell>
          <cell r="E127">
            <v>3690659.8742025727</v>
          </cell>
        </row>
        <row r="128">
          <cell r="A128">
            <v>107</v>
          </cell>
          <cell r="B128">
            <v>53.5</v>
          </cell>
          <cell r="C128">
            <v>26.75</v>
          </cell>
          <cell r="D128">
            <v>8.9166666666666661</v>
          </cell>
          <cell r="E128">
            <v>3637109.985594085</v>
          </cell>
        </row>
        <row r="129">
          <cell r="A129">
            <v>108</v>
          </cell>
          <cell r="B129">
            <v>54</v>
          </cell>
          <cell r="C129">
            <v>27</v>
          </cell>
          <cell r="D129">
            <v>9</v>
          </cell>
          <cell r="E129">
            <v>3583664.9825848048</v>
          </cell>
        </row>
        <row r="130">
          <cell r="A130">
            <v>109</v>
          </cell>
          <cell r="B130">
            <v>54.5</v>
          </cell>
          <cell r="C130">
            <v>27.25</v>
          </cell>
          <cell r="D130">
            <v>9.0833333333333339</v>
          </cell>
          <cell r="E130">
            <v>3530324.6862497088</v>
          </cell>
        </row>
        <row r="131">
          <cell r="A131">
            <v>110</v>
          </cell>
          <cell r="B131">
            <v>55</v>
          </cell>
          <cell r="C131">
            <v>27.5</v>
          </cell>
          <cell r="D131">
            <v>9.1666666666666661</v>
          </cell>
          <cell r="E131">
            <v>3477088.917961258</v>
          </cell>
        </row>
        <row r="132">
          <cell r="A132">
            <v>111</v>
          </cell>
          <cell r="B132">
            <v>55.5</v>
          </cell>
          <cell r="C132">
            <v>27.75</v>
          </cell>
          <cell r="D132">
            <v>9.25</v>
          </cell>
          <cell r="E132">
            <v>3423957.4993889052</v>
          </cell>
        </row>
        <row r="133">
          <cell r="A133">
            <v>112</v>
          </cell>
          <cell r="B133">
            <v>56</v>
          </cell>
          <cell r="C133">
            <v>28</v>
          </cell>
          <cell r="D133">
            <v>9.3333333333333339</v>
          </cell>
          <cell r="E133">
            <v>3370930.2524986034</v>
          </cell>
        </row>
        <row r="134">
          <cell r="A134">
            <v>113</v>
          </cell>
          <cell r="B134">
            <v>56.5</v>
          </cell>
          <cell r="C134">
            <v>28.25</v>
          </cell>
          <cell r="D134">
            <v>9.4166666666666661</v>
          </cell>
          <cell r="E134">
            <v>3318006.9995523156</v>
          </cell>
        </row>
        <row r="135">
          <cell r="A135">
            <v>114</v>
          </cell>
          <cell r="B135">
            <v>57</v>
          </cell>
          <cell r="C135">
            <v>28.5</v>
          </cell>
          <cell r="D135">
            <v>9.5</v>
          </cell>
          <cell r="E135">
            <v>3265187.563107525</v>
          </cell>
        </row>
        <row r="136">
          <cell r="A136">
            <v>115</v>
          </cell>
          <cell r="B136">
            <v>57.5</v>
          </cell>
          <cell r="C136">
            <v>28.75</v>
          </cell>
          <cell r="D136">
            <v>9.5833333333333339</v>
          </cell>
          <cell r="E136">
            <v>3212471.7660167469</v>
          </cell>
        </row>
        <row r="137">
          <cell r="A137">
            <v>116</v>
          </cell>
          <cell r="B137">
            <v>58</v>
          </cell>
          <cell r="C137">
            <v>29</v>
          </cell>
          <cell r="D137">
            <v>9.6666666666666661</v>
          </cell>
          <cell r="E137">
            <v>3159859.4314270406</v>
          </cell>
        </row>
        <row r="138">
          <cell r="A138">
            <v>117</v>
          </cell>
          <cell r="B138">
            <v>58.5</v>
          </cell>
          <cell r="C138">
            <v>29.25</v>
          </cell>
          <cell r="D138">
            <v>9.75</v>
          </cell>
          <cell r="E138">
            <v>3107350.3827795223</v>
          </cell>
        </row>
        <row r="139">
          <cell r="A139">
            <v>118</v>
          </cell>
          <cell r="B139">
            <v>59</v>
          </cell>
          <cell r="C139">
            <v>29.5</v>
          </cell>
          <cell r="D139">
            <v>9.8333333333333339</v>
          </cell>
          <cell r="E139">
            <v>3054944.4438088774</v>
          </cell>
        </row>
        <row r="140">
          <cell r="A140">
            <v>119</v>
          </cell>
          <cell r="B140">
            <v>59.5</v>
          </cell>
          <cell r="C140">
            <v>29.75</v>
          </cell>
          <cell r="D140">
            <v>9.9166666666666661</v>
          </cell>
          <cell r="E140">
            <v>3002641.4385428764</v>
          </cell>
        </row>
        <row r="141">
          <cell r="A141">
            <v>120</v>
          </cell>
          <cell r="B141">
            <v>60</v>
          </cell>
          <cell r="C141">
            <v>30</v>
          </cell>
          <cell r="D141">
            <v>10</v>
          </cell>
          <cell r="E141">
            <v>2950441.1913018902</v>
          </cell>
        </row>
        <row r="142">
          <cell r="A142">
            <v>121</v>
          </cell>
          <cell r="B142">
            <v>60.5</v>
          </cell>
          <cell r="C142">
            <v>30.25</v>
          </cell>
          <cell r="D142">
            <v>10.083333333333334</v>
          </cell>
          <cell r="E142">
            <v>2898343.5266984063</v>
          </cell>
        </row>
        <row r="143">
          <cell r="A143">
            <v>122</v>
          </cell>
          <cell r="B143">
            <v>61</v>
          </cell>
          <cell r="C143">
            <v>30.5</v>
          </cell>
          <cell r="D143">
            <v>10.166666666666666</v>
          </cell>
          <cell r="E143">
            <v>2846348.2696365439</v>
          </cell>
        </row>
        <row r="144">
          <cell r="A144">
            <v>123</v>
          </cell>
          <cell r="B144">
            <v>61.5</v>
          </cell>
          <cell r="C144">
            <v>30.75</v>
          </cell>
          <cell r="D144">
            <v>10.25</v>
          </cell>
          <cell r="E144">
            <v>2794455.2453115736</v>
          </cell>
        </row>
        <row r="145">
          <cell r="A145">
            <v>124</v>
          </cell>
          <cell r="B145">
            <v>62</v>
          </cell>
          <cell r="C145">
            <v>31</v>
          </cell>
          <cell r="D145">
            <v>10.333333333333334</v>
          </cell>
          <cell r="E145">
            <v>2742664.2792094345</v>
          </cell>
        </row>
        <row r="146">
          <cell r="A146">
            <v>125</v>
          </cell>
          <cell r="B146">
            <v>62.5</v>
          </cell>
          <cell r="C146">
            <v>31.25</v>
          </cell>
          <cell r="D146">
            <v>10.416666666666666</v>
          </cell>
          <cell r="E146">
            <v>2690975.1971062548</v>
          </cell>
        </row>
        <row r="147">
          <cell r="A147">
            <v>126</v>
          </cell>
          <cell r="B147">
            <v>63</v>
          </cell>
          <cell r="C147">
            <v>31.5</v>
          </cell>
          <cell r="D147">
            <v>10.5</v>
          </cell>
          <cell r="E147">
            <v>2639387.8250678708</v>
          </cell>
        </row>
        <row r="148">
          <cell r="A148">
            <v>127</v>
          </cell>
          <cell r="B148">
            <v>63.5</v>
          </cell>
          <cell r="C148">
            <v>31.75</v>
          </cell>
          <cell r="D148">
            <v>10.583333333333334</v>
          </cell>
          <cell r="E148">
            <v>2587901.9894493478</v>
          </cell>
        </row>
        <row r="149">
          <cell r="A149">
            <v>128</v>
          </cell>
          <cell r="B149">
            <v>64</v>
          </cell>
          <cell r="C149">
            <v>32</v>
          </cell>
          <cell r="D149">
            <v>10.666666666666666</v>
          </cell>
          <cell r="E149">
            <v>2536517.5168945021</v>
          </cell>
        </row>
        <row r="150">
          <cell r="A150">
            <v>129</v>
          </cell>
          <cell r="B150">
            <v>64.5</v>
          </cell>
          <cell r="C150">
            <v>32.25</v>
          </cell>
          <cell r="D150">
            <v>10.75</v>
          </cell>
          <cell r="E150">
            <v>2485234.234335423</v>
          </cell>
        </row>
        <row r="151">
          <cell r="A151">
            <v>130</v>
          </cell>
          <cell r="B151">
            <v>65</v>
          </cell>
          <cell r="C151">
            <v>32.5</v>
          </cell>
          <cell r="D151">
            <v>10.833333333333334</v>
          </cell>
          <cell r="E151">
            <v>2434051.9689919972</v>
          </cell>
        </row>
        <row r="152">
          <cell r="A152">
            <v>131</v>
          </cell>
          <cell r="B152">
            <v>65.5</v>
          </cell>
          <cell r="C152">
            <v>32.75</v>
          </cell>
          <cell r="D152">
            <v>10.916666666666666</v>
          </cell>
          <cell r="E152">
            <v>2382970.5483714305</v>
          </cell>
        </row>
        <row r="153">
          <cell r="A153">
            <v>132</v>
          </cell>
          <cell r="B153">
            <v>66</v>
          </cell>
          <cell r="C153">
            <v>33</v>
          </cell>
          <cell r="D153">
            <v>11</v>
          </cell>
          <cell r="E153">
            <v>2331989.8002677751</v>
          </cell>
        </row>
        <row r="154">
          <cell r="A154">
            <v>133</v>
          </cell>
          <cell r="B154">
            <v>66.5</v>
          </cell>
          <cell r="C154">
            <v>33.25</v>
          </cell>
          <cell r="D154">
            <v>11.083333333333334</v>
          </cell>
          <cell r="E154">
            <v>2281109.5527614537</v>
          </cell>
        </row>
        <row r="155">
          <cell r="A155">
            <v>134</v>
          </cell>
          <cell r="B155">
            <v>67</v>
          </cell>
          <cell r="C155">
            <v>33.5</v>
          </cell>
          <cell r="D155">
            <v>11.166666666666666</v>
          </cell>
          <cell r="E155">
            <v>2230329.6342187859</v>
          </cell>
        </row>
        <row r="156">
          <cell r="A156">
            <v>135</v>
          </cell>
          <cell r="B156">
            <v>67.5</v>
          </cell>
          <cell r="C156">
            <v>33.75</v>
          </cell>
          <cell r="D156">
            <v>11.25</v>
          </cell>
          <cell r="E156">
            <v>2179649.8732915162</v>
          </cell>
        </row>
        <row r="157">
          <cell r="A157">
            <v>136</v>
          </cell>
          <cell r="B157">
            <v>68</v>
          </cell>
          <cell r="C157">
            <v>34</v>
          </cell>
          <cell r="D157">
            <v>11.333333333333334</v>
          </cell>
          <cell r="E157">
            <v>2129070.0989163416</v>
          </cell>
        </row>
        <row r="158">
          <cell r="A158">
            <v>137</v>
          </cell>
          <cell r="B158">
            <v>68.5</v>
          </cell>
          <cell r="C158">
            <v>34.25</v>
          </cell>
          <cell r="D158">
            <v>11.416666666666666</v>
          </cell>
          <cell r="E158">
            <v>2078590.1403144388</v>
          </cell>
        </row>
        <row r="159">
          <cell r="A159">
            <v>138</v>
          </cell>
          <cell r="B159">
            <v>69</v>
          </cell>
          <cell r="C159">
            <v>34.5</v>
          </cell>
          <cell r="D159">
            <v>11.5</v>
          </cell>
          <cell r="E159">
            <v>2028209.8269909963</v>
          </cell>
        </row>
        <row r="160">
          <cell r="A160">
            <v>139</v>
          </cell>
          <cell r="B160">
            <v>69.5</v>
          </cell>
          <cell r="C160">
            <v>34.75</v>
          </cell>
          <cell r="D160">
            <v>11.583333333333334</v>
          </cell>
          <cell r="E160">
            <v>1977928.9887347424</v>
          </cell>
        </row>
        <row r="161">
          <cell r="A161">
            <v>140</v>
          </cell>
          <cell r="B161">
            <v>70</v>
          </cell>
          <cell r="C161">
            <v>35</v>
          </cell>
          <cell r="D161">
            <v>11.666666666666666</v>
          </cell>
          <cell r="E161">
            <v>1927747.4556174777</v>
          </cell>
        </row>
        <row r="162">
          <cell r="A162">
            <v>141</v>
          </cell>
          <cell r="B162">
            <v>70.5</v>
          </cell>
          <cell r="C162">
            <v>35.25</v>
          </cell>
          <cell r="D162">
            <v>11.75</v>
          </cell>
          <cell r="E162">
            <v>1877665.057993606</v>
          </cell>
        </row>
        <row r="163">
          <cell r="A163">
            <v>142</v>
          </cell>
          <cell r="B163">
            <v>71</v>
          </cell>
          <cell r="C163">
            <v>35.5</v>
          </cell>
          <cell r="D163">
            <v>11.833333333333334</v>
          </cell>
          <cell r="E163">
            <v>1827681.6264996675</v>
          </cell>
        </row>
        <row r="164">
          <cell r="A164">
            <v>143</v>
          </cell>
          <cell r="B164">
            <v>71.5</v>
          </cell>
          <cell r="C164">
            <v>35.75</v>
          </cell>
          <cell r="D164">
            <v>11.916666666666666</v>
          </cell>
          <cell r="E164">
            <v>1777796.9920538717</v>
          </cell>
        </row>
        <row r="165">
          <cell r="A165">
            <v>144</v>
          </cell>
          <cell r="B165">
            <v>72</v>
          </cell>
          <cell r="C165">
            <v>36</v>
          </cell>
          <cell r="D165">
            <v>12</v>
          </cell>
          <cell r="E165">
            <v>1728010.985855632</v>
          </cell>
        </row>
        <row r="166">
          <cell r="A166">
            <v>145</v>
          </cell>
          <cell r="B166">
            <v>72.5</v>
          </cell>
          <cell r="C166">
            <v>36.25</v>
          </cell>
          <cell r="D166">
            <v>12.083333333333334</v>
          </cell>
          <cell r="E166">
            <v>1678323.4393850996</v>
          </cell>
        </row>
        <row r="167">
          <cell r="A167">
            <v>146</v>
          </cell>
          <cell r="B167">
            <v>73</v>
          </cell>
          <cell r="C167">
            <v>36.5</v>
          </cell>
          <cell r="D167">
            <v>12.166666666666666</v>
          </cell>
          <cell r="E167">
            <v>1628734.1844027005</v>
          </cell>
        </row>
        <row r="168">
          <cell r="A168">
            <v>147</v>
          </cell>
          <cell r="B168">
            <v>73.5</v>
          </cell>
          <cell r="C168">
            <v>36.75</v>
          </cell>
          <cell r="D168">
            <v>12.25</v>
          </cell>
          <cell r="E168">
            <v>1579243.0529486712</v>
          </cell>
        </row>
        <row r="169">
          <cell r="A169">
            <v>148</v>
          </cell>
          <cell r="B169">
            <v>74</v>
          </cell>
          <cell r="C169">
            <v>37</v>
          </cell>
          <cell r="D169">
            <v>12.333333333333334</v>
          </cell>
          <cell r="E169">
            <v>1529849.8773425955</v>
          </cell>
        </row>
        <row r="170">
          <cell r="A170">
            <v>149</v>
          </cell>
          <cell r="B170">
            <v>74.5</v>
          </cell>
          <cell r="C170">
            <v>37.25</v>
          </cell>
          <cell r="D170">
            <v>12.416666666666666</v>
          </cell>
          <cell r="E170">
            <v>1480554.4901829439</v>
          </cell>
        </row>
        <row r="171">
          <cell r="A171">
            <v>150</v>
          </cell>
          <cell r="B171">
            <v>75</v>
          </cell>
          <cell r="C171">
            <v>37.5</v>
          </cell>
          <cell r="D171">
            <v>12.5</v>
          </cell>
          <cell r="E171">
            <v>1431356.7243466103</v>
          </cell>
        </row>
        <row r="172">
          <cell r="A172">
            <v>151</v>
          </cell>
          <cell r="B172">
            <v>75.5</v>
          </cell>
          <cell r="C172">
            <v>37.75</v>
          </cell>
          <cell r="D172">
            <v>12.583333333333334</v>
          </cell>
          <cell r="E172">
            <v>1382256.4129884532</v>
          </cell>
        </row>
        <row r="173">
          <cell r="A173">
            <v>152</v>
          </cell>
          <cell r="B173">
            <v>76</v>
          </cell>
          <cell r="C173">
            <v>38</v>
          </cell>
          <cell r="D173">
            <v>12.666666666666666</v>
          </cell>
          <cell r="E173">
            <v>1333253.3895408351</v>
          </cell>
        </row>
        <row r="174">
          <cell r="A174">
            <v>153</v>
          </cell>
          <cell r="B174">
            <v>76.5</v>
          </cell>
          <cell r="C174">
            <v>38.25</v>
          </cell>
          <cell r="D174">
            <v>12.75</v>
          </cell>
          <cell r="E174">
            <v>1284347.4877131637</v>
          </cell>
        </row>
        <row r="175">
          <cell r="A175">
            <v>154</v>
          </cell>
          <cell r="B175">
            <v>77</v>
          </cell>
          <cell r="C175">
            <v>38.5</v>
          </cell>
          <cell r="D175">
            <v>12.833333333333334</v>
          </cell>
          <cell r="E175">
            <v>1235538.5414914335</v>
          </cell>
        </row>
        <row r="176">
          <cell r="A176">
            <v>155</v>
          </cell>
          <cell r="B176">
            <v>77.5</v>
          </cell>
          <cell r="C176">
            <v>38.75</v>
          </cell>
          <cell r="D176">
            <v>12.916666666666666</v>
          </cell>
          <cell r="E176">
            <v>1186826.3851377689</v>
          </cell>
        </row>
        <row r="177">
          <cell r="A177">
            <v>156</v>
          </cell>
          <cell r="B177">
            <v>78</v>
          </cell>
          <cell r="C177">
            <v>39</v>
          </cell>
          <cell r="D177">
            <v>13</v>
          </cell>
          <cell r="E177">
            <v>1138210.8531899669</v>
          </cell>
        </row>
        <row r="178">
          <cell r="A178">
            <v>157</v>
          </cell>
          <cell r="B178">
            <v>78.5</v>
          </cell>
          <cell r="C178">
            <v>39.25</v>
          </cell>
          <cell r="D178">
            <v>13.083333333333334</v>
          </cell>
          <cell r="E178">
            <v>1089691.780461041</v>
          </cell>
        </row>
        <row r="179">
          <cell r="A179">
            <v>158</v>
          </cell>
          <cell r="B179">
            <v>79</v>
          </cell>
          <cell r="C179">
            <v>39.5</v>
          </cell>
          <cell r="D179">
            <v>13.166666666666666</v>
          </cell>
          <cell r="E179">
            <v>1041269.0020387666</v>
          </cell>
        </row>
        <row r="180">
          <cell r="A180">
            <v>159</v>
          </cell>
          <cell r="B180">
            <v>79.5</v>
          </cell>
          <cell r="C180">
            <v>39.75</v>
          </cell>
          <cell r="D180">
            <v>13.25</v>
          </cell>
          <cell r="E180">
            <v>992942.35328522604</v>
          </cell>
        </row>
        <row r="181">
          <cell r="A181">
            <v>160</v>
          </cell>
          <cell r="B181">
            <v>80</v>
          </cell>
          <cell r="C181">
            <v>40</v>
          </cell>
          <cell r="D181">
            <v>13.333333333333334</v>
          </cell>
          <cell r="E181">
            <v>944711.66983635502</v>
          </cell>
        </row>
        <row r="182">
          <cell r="A182">
            <v>161</v>
          </cell>
          <cell r="B182">
            <v>80.5</v>
          </cell>
          <cell r="C182">
            <v>40.25</v>
          </cell>
          <cell r="D182">
            <v>13.416666666666666</v>
          </cell>
          <cell r="E182">
            <v>896576.78760148981</v>
          </cell>
        </row>
        <row r="183">
          <cell r="A183">
            <v>162</v>
          </cell>
          <cell r="B183">
            <v>81</v>
          </cell>
          <cell r="C183">
            <v>40.5</v>
          </cell>
          <cell r="D183">
            <v>13.5</v>
          </cell>
          <cell r="E183">
            <v>848537.54276291479</v>
          </cell>
        </row>
        <row r="184">
          <cell r="A184">
            <v>163</v>
          </cell>
          <cell r="B184">
            <v>81.5</v>
          </cell>
          <cell r="C184">
            <v>40.75</v>
          </cell>
          <cell r="D184">
            <v>13.583333333333334</v>
          </cell>
          <cell r="E184">
            <v>800593.77177541133</v>
          </cell>
        </row>
        <row r="185">
          <cell r="A185">
            <v>164</v>
          </cell>
          <cell r="B185">
            <v>82</v>
          </cell>
          <cell r="C185">
            <v>41</v>
          </cell>
          <cell r="D185">
            <v>13.666666666666666</v>
          </cell>
          <cell r="E185">
            <v>752745.31136580638</v>
          </cell>
        </row>
        <row r="186">
          <cell r="A186">
            <v>165</v>
          </cell>
          <cell r="B186">
            <v>82.5</v>
          </cell>
          <cell r="C186">
            <v>41.25</v>
          </cell>
          <cell r="D186">
            <v>13.75</v>
          </cell>
          <cell r="E186">
            <v>704991.99853252328</v>
          </cell>
        </row>
        <row r="187">
          <cell r="A187">
            <v>166</v>
          </cell>
          <cell r="B187">
            <v>83</v>
          </cell>
          <cell r="C187">
            <v>41.5</v>
          </cell>
          <cell r="D187">
            <v>13.833333333333334</v>
          </cell>
          <cell r="E187">
            <v>657333.67054513213</v>
          </cell>
        </row>
        <row r="188">
          <cell r="A188">
            <v>167</v>
          </cell>
          <cell r="B188">
            <v>83.5</v>
          </cell>
          <cell r="C188">
            <v>41.75</v>
          </cell>
          <cell r="D188">
            <v>13.916666666666666</v>
          </cell>
          <cell r="E188">
            <v>609770.16494390136</v>
          </cell>
        </row>
        <row r="189">
          <cell r="A189">
            <v>168</v>
          </cell>
          <cell r="B189">
            <v>84</v>
          </cell>
          <cell r="C189">
            <v>42</v>
          </cell>
          <cell r="D189">
            <v>14</v>
          </cell>
          <cell r="E189">
            <v>562301.31953934976</v>
          </cell>
        </row>
        <row r="190">
          <cell r="A190">
            <v>169</v>
          </cell>
          <cell r="B190">
            <v>84.5</v>
          </cell>
          <cell r="C190">
            <v>42.25</v>
          </cell>
          <cell r="D190">
            <v>14.083333333333334</v>
          </cell>
          <cell r="E190">
            <v>514926.9724118</v>
          </cell>
        </row>
        <row r="191">
          <cell r="A191">
            <v>170</v>
          </cell>
          <cell r="B191">
            <v>85</v>
          </cell>
          <cell r="C191">
            <v>42.5</v>
          </cell>
          <cell r="D191">
            <v>14.166666666666666</v>
          </cell>
          <cell r="E191">
            <v>467646.96191093186</v>
          </cell>
        </row>
        <row r="192">
          <cell r="A192">
            <v>171</v>
          </cell>
          <cell r="B192">
            <v>85.5</v>
          </cell>
          <cell r="C192">
            <v>42.75</v>
          </cell>
          <cell r="D192">
            <v>14.25</v>
          </cell>
          <cell r="E192">
            <v>420461.12665533688</v>
          </cell>
        </row>
        <row r="193">
          <cell r="A193">
            <v>172</v>
          </cell>
          <cell r="B193">
            <v>86</v>
          </cell>
          <cell r="C193">
            <v>43</v>
          </cell>
          <cell r="D193">
            <v>14.333333333333334</v>
          </cell>
          <cell r="E193">
            <v>373369.30553207354</v>
          </cell>
        </row>
        <row r="194">
          <cell r="A194">
            <v>173</v>
          </cell>
          <cell r="B194">
            <v>86.5</v>
          </cell>
          <cell r="C194">
            <v>43.25</v>
          </cell>
          <cell r="D194">
            <v>14.416666666666666</v>
          </cell>
          <cell r="E194">
            <v>326371.33769622329</v>
          </cell>
        </row>
        <row r="195">
          <cell r="A195">
            <v>174</v>
          </cell>
          <cell r="B195">
            <v>87</v>
          </cell>
          <cell r="C195">
            <v>43.5</v>
          </cell>
          <cell r="D195">
            <v>14.5</v>
          </cell>
          <cell r="E195">
            <v>279467.06257044704</v>
          </cell>
        </row>
        <row r="196">
          <cell r="A196">
            <v>175</v>
          </cell>
          <cell r="B196">
            <v>87.5</v>
          </cell>
          <cell r="C196">
            <v>43.75</v>
          </cell>
          <cell r="D196">
            <v>14.583333333333334</v>
          </cell>
          <cell r="E196">
            <v>232656.31984454274</v>
          </cell>
        </row>
        <row r="197">
          <cell r="A197">
            <v>176</v>
          </cell>
          <cell r="B197">
            <v>88</v>
          </cell>
          <cell r="C197">
            <v>44</v>
          </cell>
          <cell r="D197">
            <v>14.666666666666666</v>
          </cell>
          <cell r="E197">
            <v>185938.94947500335</v>
          </cell>
        </row>
        <row r="198">
          <cell r="A198">
            <v>177</v>
          </cell>
          <cell r="B198">
            <v>88.5</v>
          </cell>
          <cell r="C198">
            <v>44.25</v>
          </cell>
          <cell r="D198">
            <v>14.75</v>
          </cell>
          <cell r="E198">
            <v>139314.79168457584</v>
          </cell>
        </row>
        <row r="199">
          <cell r="A199">
            <v>178</v>
          </cell>
          <cell r="B199">
            <v>89</v>
          </cell>
          <cell r="C199">
            <v>44.5</v>
          </cell>
          <cell r="D199">
            <v>14.833333333333334</v>
          </cell>
          <cell r="E199">
            <v>92783.686961820713</v>
          </cell>
        </row>
        <row r="200">
          <cell r="A200">
            <v>179</v>
          </cell>
          <cell r="B200">
            <v>89.5</v>
          </cell>
          <cell r="C200">
            <v>44.75</v>
          </cell>
          <cell r="D200">
            <v>14.916666666666666</v>
          </cell>
          <cell r="E200">
            <v>46345.476060672343</v>
          </cell>
        </row>
        <row r="201">
          <cell r="A201">
            <v>180</v>
          </cell>
          <cell r="B201">
            <v>90</v>
          </cell>
          <cell r="C201">
            <v>45</v>
          </cell>
          <cell r="D201">
            <v>15</v>
          </cell>
          <cell r="E201">
            <v>7.2639407786342765E-12</v>
          </cell>
        </row>
        <row r="202">
          <cell r="A202">
            <v>181</v>
          </cell>
          <cell r="B202">
            <v>90.5</v>
          </cell>
          <cell r="C202">
            <v>45.25</v>
          </cell>
          <cell r="D202">
            <v>15.083333333333334</v>
          </cell>
          <cell r="E202">
            <v>0</v>
          </cell>
        </row>
        <row r="203">
          <cell r="A203">
            <v>182</v>
          </cell>
          <cell r="B203">
            <v>91</v>
          </cell>
          <cell r="C203">
            <v>45.5</v>
          </cell>
          <cell r="D203">
            <v>15.166666666666666</v>
          </cell>
          <cell r="E203">
            <v>0</v>
          </cell>
        </row>
        <row r="204">
          <cell r="A204">
            <v>183</v>
          </cell>
          <cell r="B204">
            <v>91.5</v>
          </cell>
          <cell r="C204">
            <v>45.75</v>
          </cell>
          <cell r="D204">
            <v>15.25</v>
          </cell>
          <cell r="E204">
            <v>0</v>
          </cell>
        </row>
        <row r="205">
          <cell r="A205">
            <v>184</v>
          </cell>
          <cell r="B205">
            <v>92</v>
          </cell>
          <cell r="C205">
            <v>46</v>
          </cell>
          <cell r="D205">
            <v>15.333333333333334</v>
          </cell>
          <cell r="E205">
            <v>0</v>
          </cell>
        </row>
        <row r="206">
          <cell r="A206">
            <v>185</v>
          </cell>
          <cell r="B206">
            <v>92.5</v>
          </cell>
          <cell r="C206">
            <v>46.25</v>
          </cell>
          <cell r="D206">
            <v>15.416666666666666</v>
          </cell>
          <cell r="E206">
            <v>0</v>
          </cell>
        </row>
        <row r="207">
          <cell r="A207">
            <v>186</v>
          </cell>
          <cell r="B207">
            <v>93</v>
          </cell>
          <cell r="C207">
            <v>46.5</v>
          </cell>
          <cell r="D207">
            <v>15.5</v>
          </cell>
          <cell r="E207">
            <v>0</v>
          </cell>
        </row>
        <row r="208">
          <cell r="A208">
            <v>187</v>
          </cell>
          <cell r="B208">
            <v>93.5</v>
          </cell>
          <cell r="C208">
            <v>46.75</v>
          </cell>
          <cell r="D208">
            <v>15.583333333333334</v>
          </cell>
          <cell r="E208">
            <v>0</v>
          </cell>
        </row>
        <row r="209">
          <cell r="A209">
            <v>188</v>
          </cell>
          <cell r="B209">
            <v>94</v>
          </cell>
          <cell r="C209">
            <v>47</v>
          </cell>
          <cell r="D209">
            <v>15.666666666666666</v>
          </cell>
          <cell r="E209">
            <v>0</v>
          </cell>
        </row>
        <row r="210">
          <cell r="A210">
            <v>189</v>
          </cell>
          <cell r="B210">
            <v>94.5</v>
          </cell>
          <cell r="C210">
            <v>47.25</v>
          </cell>
          <cell r="D210">
            <v>15.75</v>
          </cell>
          <cell r="E210">
            <v>0</v>
          </cell>
        </row>
        <row r="211">
          <cell r="A211">
            <v>190</v>
          </cell>
          <cell r="B211">
            <v>95</v>
          </cell>
          <cell r="C211">
            <v>47.5</v>
          </cell>
          <cell r="D211">
            <v>15.833333333333334</v>
          </cell>
          <cell r="E211">
            <v>0</v>
          </cell>
        </row>
        <row r="212">
          <cell r="A212">
            <v>191</v>
          </cell>
          <cell r="B212">
            <v>95.5</v>
          </cell>
          <cell r="C212">
            <v>47.75</v>
          </cell>
          <cell r="D212">
            <v>15.916666666666666</v>
          </cell>
          <cell r="E212">
            <v>0</v>
          </cell>
        </row>
        <row r="213">
          <cell r="A213">
            <v>192</v>
          </cell>
          <cell r="B213">
            <v>96</v>
          </cell>
          <cell r="C213">
            <v>48</v>
          </cell>
          <cell r="D213">
            <v>16</v>
          </cell>
          <cell r="E213">
            <v>0</v>
          </cell>
        </row>
        <row r="214">
          <cell r="A214">
            <v>193</v>
          </cell>
          <cell r="B214">
            <v>96.5</v>
          </cell>
          <cell r="C214">
            <v>48.25</v>
          </cell>
          <cell r="D214">
            <v>16.083333333333332</v>
          </cell>
          <cell r="E214">
            <v>0</v>
          </cell>
        </row>
        <row r="215">
          <cell r="A215">
            <v>194</v>
          </cell>
          <cell r="B215">
            <v>97</v>
          </cell>
          <cell r="C215">
            <v>48.5</v>
          </cell>
          <cell r="D215">
            <v>16.166666666666668</v>
          </cell>
          <cell r="E215">
            <v>0</v>
          </cell>
        </row>
        <row r="216">
          <cell r="A216">
            <v>195</v>
          </cell>
          <cell r="B216">
            <v>97.5</v>
          </cell>
          <cell r="C216">
            <v>48.75</v>
          </cell>
          <cell r="D216">
            <v>16.25</v>
          </cell>
          <cell r="E216">
            <v>0</v>
          </cell>
        </row>
        <row r="217">
          <cell r="A217">
            <v>196</v>
          </cell>
          <cell r="B217">
            <v>98</v>
          </cell>
          <cell r="C217">
            <v>49</v>
          </cell>
          <cell r="D217">
            <v>16.333333333333332</v>
          </cell>
          <cell r="E217">
            <v>0</v>
          </cell>
        </row>
        <row r="218">
          <cell r="A218">
            <v>197</v>
          </cell>
          <cell r="B218">
            <v>98.5</v>
          </cell>
          <cell r="C218">
            <v>49.25</v>
          </cell>
          <cell r="D218">
            <v>16.416666666666668</v>
          </cell>
          <cell r="E218">
            <v>0</v>
          </cell>
        </row>
        <row r="219">
          <cell r="A219">
            <v>198</v>
          </cell>
          <cell r="B219">
            <v>99</v>
          </cell>
          <cell r="C219">
            <v>49.5</v>
          </cell>
          <cell r="D219">
            <v>16.5</v>
          </cell>
          <cell r="E219">
            <v>0</v>
          </cell>
        </row>
        <row r="220">
          <cell r="A220">
            <v>199</v>
          </cell>
          <cell r="B220">
            <v>99.5</v>
          </cell>
          <cell r="C220">
            <v>49.75</v>
          </cell>
          <cell r="D220">
            <v>16.583333333333332</v>
          </cell>
          <cell r="E220">
            <v>0</v>
          </cell>
        </row>
        <row r="221">
          <cell r="A221">
            <v>200</v>
          </cell>
          <cell r="B221">
            <v>100</v>
          </cell>
          <cell r="C221">
            <v>50</v>
          </cell>
          <cell r="D221">
            <v>16.666666666666668</v>
          </cell>
          <cell r="E221">
            <v>0</v>
          </cell>
        </row>
        <row r="222">
          <cell r="A222">
            <v>201</v>
          </cell>
          <cell r="B222">
            <v>100.5</v>
          </cell>
          <cell r="C222">
            <v>50.25</v>
          </cell>
          <cell r="D222">
            <v>16.75</v>
          </cell>
          <cell r="E222">
            <v>0</v>
          </cell>
        </row>
        <row r="223">
          <cell r="A223">
            <v>202</v>
          </cell>
          <cell r="B223">
            <v>101</v>
          </cell>
          <cell r="C223">
            <v>50.5</v>
          </cell>
          <cell r="D223">
            <v>16.833333333333332</v>
          </cell>
          <cell r="E223">
            <v>0</v>
          </cell>
        </row>
        <row r="224">
          <cell r="A224">
            <v>203</v>
          </cell>
          <cell r="B224">
            <v>101.5</v>
          </cell>
          <cell r="C224">
            <v>50.75</v>
          </cell>
          <cell r="D224">
            <v>16.916666666666668</v>
          </cell>
          <cell r="E224">
            <v>0</v>
          </cell>
        </row>
        <row r="225">
          <cell r="A225">
            <v>204</v>
          </cell>
          <cell r="B225">
            <v>102</v>
          </cell>
          <cell r="C225">
            <v>51</v>
          </cell>
          <cell r="D225">
            <v>17</v>
          </cell>
          <cell r="E225">
            <v>0</v>
          </cell>
        </row>
        <row r="226">
          <cell r="A226">
            <v>205</v>
          </cell>
          <cell r="B226">
            <v>102.5</v>
          </cell>
          <cell r="C226">
            <v>51.25</v>
          </cell>
          <cell r="D226">
            <v>17.083333333333332</v>
          </cell>
          <cell r="E226">
            <v>0</v>
          </cell>
        </row>
        <row r="227">
          <cell r="A227">
            <v>206</v>
          </cell>
          <cell r="B227">
            <v>103</v>
          </cell>
          <cell r="C227">
            <v>51.5</v>
          </cell>
          <cell r="D227">
            <v>17.166666666666668</v>
          </cell>
          <cell r="E227">
            <v>0</v>
          </cell>
        </row>
        <row r="228">
          <cell r="A228">
            <v>207</v>
          </cell>
          <cell r="B228">
            <v>103.5</v>
          </cell>
          <cell r="C228">
            <v>51.75</v>
          </cell>
          <cell r="D228">
            <v>17.25</v>
          </cell>
          <cell r="E228">
            <v>0</v>
          </cell>
        </row>
        <row r="229">
          <cell r="A229">
            <v>208</v>
          </cell>
          <cell r="B229">
            <v>104</v>
          </cell>
          <cell r="C229">
            <v>52</v>
          </cell>
          <cell r="D229">
            <v>17.333333333333332</v>
          </cell>
          <cell r="E229">
            <v>0</v>
          </cell>
        </row>
        <row r="230">
          <cell r="A230">
            <v>209</v>
          </cell>
          <cell r="B230">
            <v>104.5</v>
          </cell>
          <cell r="C230">
            <v>52.25</v>
          </cell>
          <cell r="D230">
            <v>17.416666666666668</v>
          </cell>
          <cell r="E230">
            <v>0</v>
          </cell>
        </row>
        <row r="231">
          <cell r="A231">
            <v>210</v>
          </cell>
          <cell r="B231">
            <v>105</v>
          </cell>
          <cell r="C231">
            <v>52.5</v>
          </cell>
          <cell r="D231">
            <v>17.5</v>
          </cell>
          <cell r="E231">
            <v>0</v>
          </cell>
        </row>
        <row r="232">
          <cell r="A232">
            <v>211</v>
          </cell>
          <cell r="B232">
            <v>105.5</v>
          </cell>
          <cell r="C232">
            <v>52.75</v>
          </cell>
          <cell r="D232">
            <v>17.583333333333332</v>
          </cell>
          <cell r="E232">
            <v>0</v>
          </cell>
        </row>
        <row r="233">
          <cell r="A233">
            <v>212</v>
          </cell>
          <cell r="B233">
            <v>106</v>
          </cell>
          <cell r="C233">
            <v>53</v>
          </cell>
          <cell r="D233">
            <v>17.666666666666668</v>
          </cell>
          <cell r="E233">
            <v>0</v>
          </cell>
        </row>
        <row r="234">
          <cell r="A234">
            <v>213</v>
          </cell>
          <cell r="B234">
            <v>106.5</v>
          </cell>
          <cell r="C234">
            <v>53.25</v>
          </cell>
          <cell r="D234">
            <v>17.75</v>
          </cell>
          <cell r="E234">
            <v>0</v>
          </cell>
        </row>
        <row r="235">
          <cell r="A235">
            <v>214</v>
          </cell>
          <cell r="B235">
            <v>107</v>
          </cell>
          <cell r="C235">
            <v>53.5</v>
          </cell>
          <cell r="D235">
            <v>17.833333333333332</v>
          </cell>
          <cell r="E235">
            <v>0</v>
          </cell>
        </row>
        <row r="236">
          <cell r="A236">
            <v>215</v>
          </cell>
          <cell r="B236">
            <v>107.5</v>
          </cell>
          <cell r="C236">
            <v>53.75</v>
          </cell>
          <cell r="D236">
            <v>17.916666666666668</v>
          </cell>
          <cell r="E236">
            <v>0</v>
          </cell>
        </row>
        <row r="237">
          <cell r="A237">
            <v>216</v>
          </cell>
          <cell r="B237">
            <v>108</v>
          </cell>
          <cell r="C237">
            <v>54</v>
          </cell>
          <cell r="D237">
            <v>18</v>
          </cell>
          <cell r="E237">
            <v>0</v>
          </cell>
        </row>
        <row r="238">
          <cell r="A238">
            <v>217</v>
          </cell>
          <cell r="B238">
            <v>108.5</v>
          </cell>
          <cell r="C238">
            <v>54.25</v>
          </cell>
          <cell r="D238">
            <v>18.083333333333332</v>
          </cell>
          <cell r="E238">
            <v>0</v>
          </cell>
        </row>
        <row r="239">
          <cell r="A239">
            <v>218</v>
          </cell>
          <cell r="B239">
            <v>109</v>
          </cell>
          <cell r="C239">
            <v>54.5</v>
          </cell>
          <cell r="D239">
            <v>18.166666666666668</v>
          </cell>
          <cell r="E239">
            <v>0</v>
          </cell>
        </row>
        <row r="240">
          <cell r="A240">
            <v>219</v>
          </cell>
          <cell r="B240">
            <v>109.5</v>
          </cell>
          <cell r="C240">
            <v>54.75</v>
          </cell>
          <cell r="D240">
            <v>18.25</v>
          </cell>
          <cell r="E240">
            <v>0</v>
          </cell>
        </row>
        <row r="241">
          <cell r="A241">
            <v>220</v>
          </cell>
          <cell r="B241">
            <v>110</v>
          </cell>
          <cell r="C241">
            <v>55</v>
          </cell>
          <cell r="D241">
            <v>18.333333333333332</v>
          </cell>
          <cell r="E241">
            <v>0</v>
          </cell>
        </row>
        <row r="242">
          <cell r="A242">
            <v>221</v>
          </cell>
          <cell r="B242">
            <v>110.5</v>
          </cell>
          <cell r="C242">
            <v>55.25</v>
          </cell>
          <cell r="D242">
            <v>18.416666666666668</v>
          </cell>
          <cell r="E242">
            <v>0</v>
          </cell>
        </row>
        <row r="243">
          <cell r="A243">
            <v>222</v>
          </cell>
          <cell r="B243">
            <v>111</v>
          </cell>
          <cell r="C243">
            <v>55.5</v>
          </cell>
          <cell r="D243">
            <v>18.5</v>
          </cell>
          <cell r="E243">
            <v>0</v>
          </cell>
        </row>
        <row r="244">
          <cell r="A244">
            <v>223</v>
          </cell>
          <cell r="B244">
            <v>111.5</v>
          </cell>
          <cell r="C244">
            <v>55.75</v>
          </cell>
          <cell r="D244">
            <v>18.583333333333332</v>
          </cell>
          <cell r="E244">
            <v>0</v>
          </cell>
        </row>
        <row r="245">
          <cell r="A245">
            <v>224</v>
          </cell>
          <cell r="B245">
            <v>112</v>
          </cell>
          <cell r="C245">
            <v>56</v>
          </cell>
          <cell r="D245">
            <v>18.666666666666668</v>
          </cell>
          <cell r="E245">
            <v>0</v>
          </cell>
        </row>
        <row r="246">
          <cell r="A246">
            <v>225</v>
          </cell>
          <cell r="B246">
            <v>112.5</v>
          </cell>
          <cell r="C246">
            <v>56.25</v>
          </cell>
          <cell r="D246">
            <v>18.75</v>
          </cell>
          <cell r="E246">
            <v>0</v>
          </cell>
        </row>
        <row r="247">
          <cell r="A247">
            <v>226</v>
          </cell>
          <cell r="B247">
            <v>113</v>
          </cell>
          <cell r="C247">
            <v>56.5</v>
          </cell>
          <cell r="D247">
            <v>18.833333333333332</v>
          </cell>
          <cell r="E247">
            <v>0</v>
          </cell>
        </row>
        <row r="248">
          <cell r="A248">
            <v>227</v>
          </cell>
          <cell r="B248">
            <v>113.5</v>
          </cell>
          <cell r="C248">
            <v>56.75</v>
          </cell>
          <cell r="D248">
            <v>18.916666666666668</v>
          </cell>
          <cell r="E248">
            <v>0</v>
          </cell>
        </row>
        <row r="249">
          <cell r="A249">
            <v>228</v>
          </cell>
          <cell r="B249">
            <v>114</v>
          </cell>
          <cell r="C249">
            <v>57</v>
          </cell>
          <cell r="D249">
            <v>19</v>
          </cell>
          <cell r="E249">
            <v>0</v>
          </cell>
        </row>
        <row r="250">
          <cell r="A250">
            <v>229</v>
          </cell>
          <cell r="B250">
            <v>114.5</v>
          </cell>
          <cell r="C250">
            <v>57.25</v>
          </cell>
          <cell r="D250">
            <v>19.083333333333332</v>
          </cell>
          <cell r="E250">
            <v>0</v>
          </cell>
        </row>
        <row r="251">
          <cell r="A251">
            <v>230</v>
          </cell>
          <cell r="B251">
            <v>115</v>
          </cell>
          <cell r="C251">
            <v>57.5</v>
          </cell>
          <cell r="D251">
            <v>19.166666666666668</v>
          </cell>
          <cell r="E251">
            <v>0</v>
          </cell>
        </row>
        <row r="252">
          <cell r="A252">
            <v>231</v>
          </cell>
          <cell r="B252">
            <v>115.5</v>
          </cell>
          <cell r="C252">
            <v>57.75</v>
          </cell>
          <cell r="D252">
            <v>19.25</v>
          </cell>
          <cell r="E252">
            <v>0</v>
          </cell>
        </row>
        <row r="253">
          <cell r="A253">
            <v>232</v>
          </cell>
          <cell r="B253">
            <v>116</v>
          </cell>
          <cell r="C253">
            <v>58</v>
          </cell>
          <cell r="D253">
            <v>19.333333333333332</v>
          </cell>
          <cell r="E253">
            <v>0</v>
          </cell>
        </row>
        <row r="254">
          <cell r="A254">
            <v>233</v>
          </cell>
          <cell r="B254">
            <v>116.5</v>
          </cell>
          <cell r="C254">
            <v>58.25</v>
          </cell>
          <cell r="D254">
            <v>19.416666666666668</v>
          </cell>
          <cell r="E254">
            <v>0</v>
          </cell>
        </row>
        <row r="255">
          <cell r="A255">
            <v>234</v>
          </cell>
          <cell r="B255">
            <v>117</v>
          </cell>
          <cell r="C255">
            <v>58.5</v>
          </cell>
          <cell r="D255">
            <v>19.5</v>
          </cell>
          <cell r="E255">
            <v>0</v>
          </cell>
        </row>
        <row r="256">
          <cell r="A256">
            <v>235</v>
          </cell>
          <cell r="B256">
            <v>117.5</v>
          </cell>
          <cell r="C256">
            <v>58.75</v>
          </cell>
          <cell r="D256">
            <v>19.583333333333332</v>
          </cell>
          <cell r="E256">
            <v>0</v>
          </cell>
        </row>
        <row r="257">
          <cell r="A257">
            <v>236</v>
          </cell>
          <cell r="B257">
            <v>118</v>
          </cell>
          <cell r="C257">
            <v>59</v>
          </cell>
          <cell r="D257">
            <v>19.666666666666668</v>
          </cell>
          <cell r="E257">
            <v>0</v>
          </cell>
        </row>
        <row r="258">
          <cell r="A258">
            <v>237</v>
          </cell>
          <cell r="B258">
            <v>118.5</v>
          </cell>
          <cell r="C258">
            <v>59.25</v>
          </cell>
          <cell r="D258">
            <v>19.75</v>
          </cell>
          <cell r="E258">
            <v>0</v>
          </cell>
        </row>
        <row r="259">
          <cell r="A259">
            <v>238</v>
          </cell>
          <cell r="B259">
            <v>119</v>
          </cell>
          <cell r="C259">
            <v>59.5</v>
          </cell>
          <cell r="D259">
            <v>19.833333333333332</v>
          </cell>
          <cell r="E259">
            <v>0</v>
          </cell>
        </row>
        <row r="260">
          <cell r="A260">
            <v>239</v>
          </cell>
          <cell r="B260">
            <v>119.5</v>
          </cell>
          <cell r="C260">
            <v>59.75</v>
          </cell>
          <cell r="D260">
            <v>19.916666666666668</v>
          </cell>
          <cell r="E260">
            <v>0</v>
          </cell>
        </row>
        <row r="261">
          <cell r="A261">
            <v>240</v>
          </cell>
          <cell r="B261">
            <v>120</v>
          </cell>
          <cell r="C261">
            <v>60</v>
          </cell>
          <cell r="D261">
            <v>20</v>
          </cell>
          <cell r="E261">
            <v>0</v>
          </cell>
        </row>
        <row r="262">
          <cell r="A262">
            <v>241</v>
          </cell>
          <cell r="B262">
            <v>120.5</v>
          </cell>
          <cell r="C262">
            <v>60.25</v>
          </cell>
          <cell r="D262">
            <v>20.083333333333332</v>
          </cell>
          <cell r="E262">
            <v>0</v>
          </cell>
        </row>
        <row r="263">
          <cell r="A263">
            <v>242</v>
          </cell>
          <cell r="B263">
            <v>121</v>
          </cell>
          <cell r="C263">
            <v>60.5</v>
          </cell>
          <cell r="D263">
            <v>20.166666666666668</v>
          </cell>
          <cell r="E263">
            <v>0</v>
          </cell>
        </row>
        <row r="264">
          <cell r="A264">
            <v>243</v>
          </cell>
          <cell r="B264">
            <v>121.5</v>
          </cell>
          <cell r="C264">
            <v>60.75</v>
          </cell>
          <cell r="D264">
            <v>20.25</v>
          </cell>
          <cell r="E264">
            <v>0</v>
          </cell>
        </row>
        <row r="265">
          <cell r="A265">
            <v>244</v>
          </cell>
          <cell r="B265">
            <v>122</v>
          </cell>
          <cell r="C265">
            <v>61</v>
          </cell>
          <cell r="D265">
            <v>20.333333333333332</v>
          </cell>
          <cell r="E265">
            <v>0</v>
          </cell>
        </row>
        <row r="266">
          <cell r="A266">
            <v>245</v>
          </cell>
          <cell r="B266">
            <v>122.5</v>
          </cell>
          <cell r="C266">
            <v>61.25</v>
          </cell>
          <cell r="D266">
            <v>20.416666666666668</v>
          </cell>
          <cell r="E266">
            <v>0</v>
          </cell>
        </row>
        <row r="267">
          <cell r="A267">
            <v>246</v>
          </cell>
          <cell r="B267">
            <v>123</v>
          </cell>
          <cell r="C267">
            <v>61.5</v>
          </cell>
          <cell r="D267">
            <v>20.5</v>
          </cell>
          <cell r="E267">
            <v>0</v>
          </cell>
        </row>
        <row r="268">
          <cell r="A268">
            <v>247</v>
          </cell>
          <cell r="B268">
            <v>123.5</v>
          </cell>
          <cell r="C268">
            <v>61.75</v>
          </cell>
          <cell r="D268">
            <v>20.583333333333332</v>
          </cell>
          <cell r="E268">
            <v>0</v>
          </cell>
        </row>
        <row r="269">
          <cell r="A269">
            <v>248</v>
          </cell>
          <cell r="B269">
            <v>124</v>
          </cell>
          <cell r="C269">
            <v>62</v>
          </cell>
          <cell r="D269">
            <v>20.666666666666668</v>
          </cell>
          <cell r="E269">
            <v>0</v>
          </cell>
        </row>
        <row r="270">
          <cell r="A270">
            <v>249</v>
          </cell>
          <cell r="B270">
            <v>124.5</v>
          </cell>
          <cell r="C270">
            <v>62.25</v>
          </cell>
          <cell r="D270">
            <v>20.75</v>
          </cell>
          <cell r="E270">
            <v>0</v>
          </cell>
        </row>
        <row r="271">
          <cell r="A271">
            <v>250</v>
          </cell>
          <cell r="B271">
            <v>125</v>
          </cell>
          <cell r="C271">
            <v>62.5</v>
          </cell>
          <cell r="D271">
            <v>20.833333333333332</v>
          </cell>
          <cell r="E271">
            <v>0</v>
          </cell>
        </row>
        <row r="272">
          <cell r="A272">
            <v>251</v>
          </cell>
          <cell r="B272">
            <v>125.5</v>
          </cell>
          <cell r="C272">
            <v>62.75</v>
          </cell>
          <cell r="D272">
            <v>20.916666666666668</v>
          </cell>
          <cell r="E272">
            <v>0</v>
          </cell>
        </row>
        <row r="273">
          <cell r="A273">
            <v>252</v>
          </cell>
          <cell r="B273">
            <v>126</v>
          </cell>
          <cell r="C273">
            <v>63</v>
          </cell>
          <cell r="D273">
            <v>21</v>
          </cell>
          <cell r="E273">
            <v>0</v>
          </cell>
        </row>
        <row r="274">
          <cell r="A274">
            <v>253</v>
          </cell>
          <cell r="B274">
            <v>126.5</v>
          </cell>
          <cell r="C274">
            <v>63.25</v>
          </cell>
          <cell r="D274">
            <v>21.083333333333332</v>
          </cell>
          <cell r="E274">
            <v>0</v>
          </cell>
        </row>
        <row r="275">
          <cell r="A275">
            <v>254</v>
          </cell>
          <cell r="B275">
            <v>127</v>
          </cell>
          <cell r="C275">
            <v>63.5</v>
          </cell>
          <cell r="D275">
            <v>21.166666666666668</v>
          </cell>
          <cell r="E275">
            <v>0</v>
          </cell>
        </row>
        <row r="276">
          <cell r="A276">
            <v>255</v>
          </cell>
          <cell r="B276">
            <v>127.5</v>
          </cell>
          <cell r="C276">
            <v>63.75</v>
          </cell>
          <cell r="D276">
            <v>21.25</v>
          </cell>
          <cell r="E276">
            <v>0</v>
          </cell>
        </row>
        <row r="277">
          <cell r="A277">
            <v>256</v>
          </cell>
          <cell r="B277">
            <v>128</v>
          </cell>
          <cell r="C277">
            <v>64</v>
          </cell>
          <cell r="D277">
            <v>21.333333333333332</v>
          </cell>
          <cell r="E277">
            <v>0</v>
          </cell>
        </row>
        <row r="278">
          <cell r="A278">
            <v>257</v>
          </cell>
          <cell r="B278">
            <v>128.5</v>
          </cell>
          <cell r="C278">
            <v>64.25</v>
          </cell>
          <cell r="D278">
            <v>21.416666666666668</v>
          </cell>
          <cell r="E278">
            <v>0</v>
          </cell>
        </row>
        <row r="279">
          <cell r="A279">
            <v>258</v>
          </cell>
          <cell r="B279">
            <v>129</v>
          </cell>
          <cell r="C279">
            <v>64.5</v>
          </cell>
          <cell r="D279">
            <v>21.5</v>
          </cell>
          <cell r="E279">
            <v>0</v>
          </cell>
        </row>
        <row r="280">
          <cell r="A280">
            <v>259</v>
          </cell>
          <cell r="B280">
            <v>129.5</v>
          </cell>
          <cell r="C280">
            <v>64.75</v>
          </cell>
          <cell r="D280">
            <v>21.583333333333332</v>
          </cell>
          <cell r="E280">
            <v>0</v>
          </cell>
        </row>
        <row r="281">
          <cell r="A281">
            <v>260</v>
          </cell>
          <cell r="B281">
            <v>130</v>
          </cell>
          <cell r="C281">
            <v>65</v>
          </cell>
          <cell r="D281">
            <v>21.666666666666668</v>
          </cell>
          <cell r="E281">
            <v>0</v>
          </cell>
        </row>
        <row r="282">
          <cell r="A282">
            <v>261</v>
          </cell>
          <cell r="B282">
            <v>130.5</v>
          </cell>
          <cell r="C282">
            <v>65.25</v>
          </cell>
          <cell r="D282">
            <v>21.75</v>
          </cell>
          <cell r="E282">
            <v>0</v>
          </cell>
        </row>
        <row r="283">
          <cell r="A283">
            <v>262</v>
          </cell>
          <cell r="B283">
            <v>131</v>
          </cell>
          <cell r="C283">
            <v>65.5</v>
          </cell>
          <cell r="D283">
            <v>21.833333333333332</v>
          </cell>
          <cell r="E283">
            <v>0</v>
          </cell>
        </row>
        <row r="284">
          <cell r="A284">
            <v>263</v>
          </cell>
          <cell r="B284">
            <v>131.5</v>
          </cell>
          <cell r="C284">
            <v>65.75</v>
          </cell>
          <cell r="D284">
            <v>21.916666666666668</v>
          </cell>
          <cell r="E284">
            <v>0</v>
          </cell>
        </row>
        <row r="285">
          <cell r="A285">
            <v>264</v>
          </cell>
          <cell r="B285">
            <v>132</v>
          </cell>
          <cell r="C285">
            <v>66</v>
          </cell>
          <cell r="D285">
            <v>22</v>
          </cell>
          <cell r="E285">
            <v>0</v>
          </cell>
        </row>
        <row r="286">
          <cell r="A286">
            <v>265</v>
          </cell>
          <cell r="B286">
            <v>132.5</v>
          </cell>
          <cell r="C286">
            <v>66.25</v>
          </cell>
          <cell r="D286">
            <v>22.083333333333332</v>
          </cell>
          <cell r="E286">
            <v>0</v>
          </cell>
        </row>
        <row r="287">
          <cell r="A287">
            <v>266</v>
          </cell>
          <cell r="B287">
            <v>133</v>
          </cell>
          <cell r="C287">
            <v>66.5</v>
          </cell>
          <cell r="D287">
            <v>22.166666666666668</v>
          </cell>
          <cell r="E287">
            <v>0</v>
          </cell>
        </row>
        <row r="288">
          <cell r="A288">
            <v>267</v>
          </cell>
          <cell r="B288">
            <v>133.5</v>
          </cell>
          <cell r="C288">
            <v>66.75</v>
          </cell>
          <cell r="D288">
            <v>22.25</v>
          </cell>
          <cell r="E288">
            <v>0</v>
          </cell>
        </row>
        <row r="289">
          <cell r="A289">
            <v>268</v>
          </cell>
          <cell r="B289">
            <v>134</v>
          </cell>
          <cell r="C289">
            <v>67</v>
          </cell>
          <cell r="D289">
            <v>22.333333333333332</v>
          </cell>
          <cell r="E289">
            <v>0</v>
          </cell>
        </row>
        <row r="290">
          <cell r="A290">
            <v>269</v>
          </cell>
          <cell r="B290">
            <v>134.5</v>
          </cell>
          <cell r="C290">
            <v>67.25</v>
          </cell>
          <cell r="D290">
            <v>22.416666666666668</v>
          </cell>
          <cell r="E290">
            <v>0</v>
          </cell>
        </row>
        <row r="291">
          <cell r="A291">
            <v>270</v>
          </cell>
          <cell r="B291">
            <v>135</v>
          </cell>
          <cell r="C291">
            <v>67.5</v>
          </cell>
          <cell r="D291">
            <v>22.5</v>
          </cell>
          <cell r="E291">
            <v>0</v>
          </cell>
        </row>
        <row r="292">
          <cell r="A292">
            <v>271</v>
          </cell>
          <cell r="B292">
            <v>135.5</v>
          </cell>
          <cell r="C292">
            <v>67.75</v>
          </cell>
          <cell r="D292">
            <v>22.583333333333332</v>
          </cell>
          <cell r="E292">
            <v>0</v>
          </cell>
        </row>
        <row r="293">
          <cell r="A293">
            <v>272</v>
          </cell>
          <cell r="B293">
            <v>136</v>
          </cell>
          <cell r="C293">
            <v>68</v>
          </cell>
          <cell r="D293">
            <v>22.666666666666668</v>
          </cell>
          <cell r="E293">
            <v>0</v>
          </cell>
        </row>
        <row r="294">
          <cell r="A294">
            <v>273</v>
          </cell>
          <cell r="B294">
            <v>136.5</v>
          </cell>
          <cell r="C294">
            <v>68.25</v>
          </cell>
          <cell r="D294">
            <v>22.75</v>
          </cell>
          <cell r="E294">
            <v>0</v>
          </cell>
        </row>
        <row r="295">
          <cell r="A295">
            <v>274</v>
          </cell>
          <cell r="B295">
            <v>137</v>
          </cell>
          <cell r="C295">
            <v>68.5</v>
          </cell>
          <cell r="D295">
            <v>22.833333333333332</v>
          </cell>
          <cell r="E295">
            <v>0</v>
          </cell>
        </row>
        <row r="296">
          <cell r="A296">
            <v>275</v>
          </cell>
          <cell r="B296">
            <v>137.5</v>
          </cell>
          <cell r="C296">
            <v>68.75</v>
          </cell>
          <cell r="D296">
            <v>22.916666666666668</v>
          </cell>
          <cell r="E296">
            <v>0</v>
          </cell>
        </row>
        <row r="297">
          <cell r="A297">
            <v>276</v>
          </cell>
          <cell r="B297">
            <v>138</v>
          </cell>
          <cell r="C297">
            <v>69</v>
          </cell>
          <cell r="D297">
            <v>23</v>
          </cell>
          <cell r="E297">
            <v>0</v>
          </cell>
        </row>
        <row r="298">
          <cell r="A298">
            <v>277</v>
          </cell>
          <cell r="B298">
            <v>138.5</v>
          </cell>
          <cell r="C298">
            <v>69.25</v>
          </cell>
          <cell r="D298">
            <v>23.083333333333332</v>
          </cell>
          <cell r="E298">
            <v>0</v>
          </cell>
        </row>
        <row r="299">
          <cell r="A299">
            <v>278</v>
          </cell>
          <cell r="B299">
            <v>139</v>
          </cell>
          <cell r="C299">
            <v>69.5</v>
          </cell>
          <cell r="D299">
            <v>23.166666666666668</v>
          </cell>
          <cell r="E299">
            <v>0</v>
          </cell>
        </row>
        <row r="300">
          <cell r="A300">
            <v>279</v>
          </cell>
          <cell r="B300">
            <v>139.5</v>
          </cell>
          <cell r="C300">
            <v>69.75</v>
          </cell>
          <cell r="D300">
            <v>23.25</v>
          </cell>
          <cell r="E300">
            <v>0</v>
          </cell>
        </row>
        <row r="301">
          <cell r="A301">
            <v>280</v>
          </cell>
          <cell r="B301">
            <v>140</v>
          </cell>
          <cell r="C301">
            <v>70</v>
          </cell>
          <cell r="D301">
            <v>23.333333333333332</v>
          </cell>
          <cell r="E301">
            <v>0</v>
          </cell>
        </row>
        <row r="302">
          <cell r="A302">
            <v>281</v>
          </cell>
          <cell r="B302">
            <v>140.5</v>
          </cell>
          <cell r="C302">
            <v>70.25</v>
          </cell>
          <cell r="D302">
            <v>23.416666666666668</v>
          </cell>
          <cell r="E302">
            <v>0</v>
          </cell>
        </row>
        <row r="303">
          <cell r="A303">
            <v>282</v>
          </cell>
          <cell r="B303">
            <v>141</v>
          </cell>
          <cell r="C303">
            <v>70.5</v>
          </cell>
          <cell r="D303">
            <v>23.5</v>
          </cell>
          <cell r="E303">
            <v>0</v>
          </cell>
        </row>
        <row r="304">
          <cell r="A304">
            <v>283</v>
          </cell>
          <cell r="B304">
            <v>141.5</v>
          </cell>
          <cell r="C304">
            <v>70.75</v>
          </cell>
          <cell r="D304">
            <v>23.583333333333332</v>
          </cell>
          <cell r="E304">
            <v>0</v>
          </cell>
        </row>
        <row r="305">
          <cell r="A305">
            <v>284</v>
          </cell>
          <cell r="B305">
            <v>142</v>
          </cell>
          <cell r="C305">
            <v>71</v>
          </cell>
          <cell r="D305">
            <v>23.666666666666668</v>
          </cell>
          <cell r="E305">
            <v>0</v>
          </cell>
        </row>
        <row r="306">
          <cell r="A306">
            <v>285</v>
          </cell>
          <cell r="B306">
            <v>142.5</v>
          </cell>
          <cell r="C306">
            <v>71.25</v>
          </cell>
          <cell r="D306">
            <v>23.75</v>
          </cell>
          <cell r="E306">
            <v>0</v>
          </cell>
        </row>
        <row r="307">
          <cell r="A307">
            <v>286</v>
          </cell>
          <cell r="B307">
            <v>143</v>
          </cell>
          <cell r="C307">
            <v>71.5</v>
          </cell>
          <cell r="D307">
            <v>23.833333333333332</v>
          </cell>
          <cell r="E307">
            <v>0</v>
          </cell>
        </row>
        <row r="308">
          <cell r="A308">
            <v>287</v>
          </cell>
          <cell r="B308">
            <v>143.5</v>
          </cell>
          <cell r="C308">
            <v>71.75</v>
          </cell>
          <cell r="D308">
            <v>23.916666666666668</v>
          </cell>
          <cell r="E308">
            <v>0</v>
          </cell>
        </row>
        <row r="309">
          <cell r="A309">
            <v>288</v>
          </cell>
          <cell r="B309">
            <v>144</v>
          </cell>
          <cell r="C309">
            <v>72</v>
          </cell>
          <cell r="D309">
            <v>24</v>
          </cell>
          <cell r="E309">
            <v>0</v>
          </cell>
        </row>
        <row r="310">
          <cell r="A310">
            <v>289</v>
          </cell>
          <cell r="B310">
            <v>144.5</v>
          </cell>
          <cell r="C310">
            <v>72.25</v>
          </cell>
          <cell r="D310">
            <v>24.083333333333332</v>
          </cell>
          <cell r="E310">
            <v>0</v>
          </cell>
        </row>
        <row r="311">
          <cell r="A311">
            <v>290</v>
          </cell>
          <cell r="B311">
            <v>145</v>
          </cell>
          <cell r="C311">
            <v>72.5</v>
          </cell>
          <cell r="D311">
            <v>24.166666666666668</v>
          </cell>
          <cell r="E311">
            <v>0</v>
          </cell>
        </row>
        <row r="312">
          <cell r="A312">
            <v>291</v>
          </cell>
          <cell r="B312">
            <v>145.5</v>
          </cell>
          <cell r="C312">
            <v>72.75</v>
          </cell>
          <cell r="D312">
            <v>24.25</v>
          </cell>
          <cell r="E312">
            <v>0</v>
          </cell>
        </row>
        <row r="313">
          <cell r="A313">
            <v>292</v>
          </cell>
          <cell r="B313">
            <v>146</v>
          </cell>
          <cell r="C313">
            <v>73</v>
          </cell>
          <cell r="D313">
            <v>24.333333333333332</v>
          </cell>
          <cell r="E313">
            <v>0</v>
          </cell>
        </row>
        <row r="314">
          <cell r="A314">
            <v>293</v>
          </cell>
          <cell r="B314">
            <v>146.5</v>
          </cell>
          <cell r="C314">
            <v>73.25</v>
          </cell>
          <cell r="D314">
            <v>24.416666666666668</v>
          </cell>
          <cell r="E314">
            <v>0</v>
          </cell>
        </row>
        <row r="315">
          <cell r="A315">
            <v>294</v>
          </cell>
          <cell r="B315">
            <v>147</v>
          </cell>
          <cell r="C315">
            <v>73.5</v>
          </cell>
          <cell r="D315">
            <v>24.5</v>
          </cell>
          <cell r="E315">
            <v>0</v>
          </cell>
        </row>
        <row r="316">
          <cell r="A316">
            <v>295</v>
          </cell>
          <cell r="B316">
            <v>147.5</v>
          </cell>
          <cell r="C316">
            <v>73.75</v>
          </cell>
          <cell r="D316">
            <v>24.583333333333332</v>
          </cell>
          <cell r="E316">
            <v>0</v>
          </cell>
        </row>
        <row r="317">
          <cell r="A317">
            <v>296</v>
          </cell>
          <cell r="B317">
            <v>148</v>
          </cell>
          <cell r="C317">
            <v>74</v>
          </cell>
          <cell r="D317">
            <v>24.666666666666668</v>
          </cell>
          <cell r="E317">
            <v>0</v>
          </cell>
        </row>
        <row r="318">
          <cell r="A318">
            <v>297</v>
          </cell>
          <cell r="B318">
            <v>148.5</v>
          </cell>
          <cell r="C318">
            <v>74.25</v>
          </cell>
          <cell r="D318">
            <v>24.75</v>
          </cell>
          <cell r="E318">
            <v>0</v>
          </cell>
        </row>
        <row r="319">
          <cell r="A319">
            <v>298</v>
          </cell>
          <cell r="B319">
            <v>149</v>
          </cell>
          <cell r="C319">
            <v>74.5</v>
          </cell>
          <cell r="D319">
            <v>24.833333333333332</v>
          </cell>
          <cell r="E319">
            <v>0</v>
          </cell>
        </row>
        <row r="320">
          <cell r="A320">
            <v>299</v>
          </cell>
          <cell r="B320">
            <v>149.5</v>
          </cell>
          <cell r="C320">
            <v>74.75</v>
          </cell>
          <cell r="D320">
            <v>24.916666666666668</v>
          </cell>
          <cell r="E320">
            <v>0</v>
          </cell>
        </row>
        <row r="321">
          <cell r="A321">
            <v>300</v>
          </cell>
          <cell r="B321">
            <v>150</v>
          </cell>
          <cell r="C321">
            <v>75</v>
          </cell>
          <cell r="D321">
            <v>25</v>
          </cell>
          <cell r="E321">
            <v>0</v>
          </cell>
        </row>
        <row r="322">
          <cell r="A322">
            <v>301</v>
          </cell>
          <cell r="B322">
            <v>150.5</v>
          </cell>
          <cell r="C322">
            <v>75.25</v>
          </cell>
          <cell r="D322">
            <v>25.083333333333332</v>
          </cell>
          <cell r="E322">
            <v>0</v>
          </cell>
        </row>
        <row r="323">
          <cell r="A323">
            <v>302</v>
          </cell>
          <cell r="B323">
            <v>151</v>
          </cell>
          <cell r="C323">
            <v>75.5</v>
          </cell>
          <cell r="D323">
            <v>25.166666666666668</v>
          </cell>
          <cell r="E323">
            <v>0</v>
          </cell>
        </row>
        <row r="324">
          <cell r="A324">
            <v>303</v>
          </cell>
          <cell r="B324">
            <v>151.5</v>
          </cell>
          <cell r="C324">
            <v>75.75</v>
          </cell>
          <cell r="D324">
            <v>25.25</v>
          </cell>
          <cell r="E324">
            <v>0</v>
          </cell>
        </row>
        <row r="325">
          <cell r="A325">
            <v>304</v>
          </cell>
          <cell r="B325">
            <v>152</v>
          </cell>
          <cell r="C325">
            <v>76</v>
          </cell>
          <cell r="D325">
            <v>25.333333333333332</v>
          </cell>
          <cell r="E325">
            <v>0</v>
          </cell>
        </row>
        <row r="326">
          <cell r="A326">
            <v>305</v>
          </cell>
          <cell r="B326">
            <v>152.5</v>
          </cell>
          <cell r="C326">
            <v>76.25</v>
          </cell>
          <cell r="D326">
            <v>25.416666666666668</v>
          </cell>
          <cell r="E326">
            <v>0</v>
          </cell>
        </row>
        <row r="327">
          <cell r="A327">
            <v>306</v>
          </cell>
          <cell r="B327">
            <v>153</v>
          </cell>
          <cell r="C327">
            <v>76.5</v>
          </cell>
          <cell r="D327">
            <v>25.5</v>
          </cell>
          <cell r="E327">
            <v>0</v>
          </cell>
        </row>
        <row r="328">
          <cell r="A328">
            <v>307</v>
          </cell>
          <cell r="B328">
            <v>153.5</v>
          </cell>
          <cell r="C328">
            <v>76.75</v>
          </cell>
          <cell r="D328">
            <v>25.583333333333332</v>
          </cell>
          <cell r="E328">
            <v>0</v>
          </cell>
        </row>
        <row r="329">
          <cell r="A329">
            <v>308</v>
          </cell>
          <cell r="B329">
            <v>154</v>
          </cell>
          <cell r="C329">
            <v>77</v>
          </cell>
          <cell r="D329">
            <v>25.666666666666668</v>
          </cell>
          <cell r="E329">
            <v>0</v>
          </cell>
        </row>
        <row r="330">
          <cell r="A330">
            <v>309</v>
          </cell>
          <cell r="B330">
            <v>154.5</v>
          </cell>
          <cell r="C330">
            <v>77.25</v>
          </cell>
          <cell r="D330">
            <v>25.75</v>
          </cell>
          <cell r="E330">
            <v>0</v>
          </cell>
        </row>
        <row r="331">
          <cell r="A331">
            <v>310</v>
          </cell>
          <cell r="B331">
            <v>155</v>
          </cell>
          <cell r="C331">
            <v>77.5</v>
          </cell>
          <cell r="D331">
            <v>25.833333333333332</v>
          </cell>
          <cell r="E331">
            <v>0</v>
          </cell>
        </row>
        <row r="332">
          <cell r="A332">
            <v>311</v>
          </cell>
          <cell r="B332">
            <v>155.5</v>
          </cell>
          <cell r="C332">
            <v>77.75</v>
          </cell>
          <cell r="D332">
            <v>25.916666666666668</v>
          </cell>
          <cell r="E332">
            <v>0</v>
          </cell>
        </row>
        <row r="333">
          <cell r="A333">
            <v>312</v>
          </cell>
          <cell r="B333">
            <v>156</v>
          </cell>
          <cell r="C333">
            <v>78</v>
          </cell>
          <cell r="D333">
            <v>26</v>
          </cell>
          <cell r="E333">
            <v>0</v>
          </cell>
        </row>
        <row r="334">
          <cell r="A334">
            <v>313</v>
          </cell>
          <cell r="B334">
            <v>156.5</v>
          </cell>
          <cell r="C334">
            <v>78.25</v>
          </cell>
          <cell r="D334">
            <v>26.083333333333332</v>
          </cell>
          <cell r="E334">
            <v>0</v>
          </cell>
        </row>
        <row r="335">
          <cell r="A335">
            <v>314</v>
          </cell>
          <cell r="B335">
            <v>157</v>
          </cell>
          <cell r="C335">
            <v>78.5</v>
          </cell>
          <cell r="D335">
            <v>26.166666666666668</v>
          </cell>
          <cell r="E335">
            <v>0</v>
          </cell>
        </row>
        <row r="336">
          <cell r="A336">
            <v>315</v>
          </cell>
          <cell r="B336">
            <v>157.5</v>
          </cell>
          <cell r="C336">
            <v>78.75</v>
          </cell>
          <cell r="D336">
            <v>26.25</v>
          </cell>
          <cell r="E336">
            <v>0</v>
          </cell>
        </row>
        <row r="337">
          <cell r="A337">
            <v>316</v>
          </cell>
          <cell r="B337">
            <v>158</v>
          </cell>
          <cell r="C337">
            <v>79</v>
          </cell>
          <cell r="D337">
            <v>26.333333333333332</v>
          </cell>
          <cell r="E337">
            <v>0</v>
          </cell>
        </row>
        <row r="338">
          <cell r="A338">
            <v>317</v>
          </cell>
          <cell r="B338">
            <v>158.5</v>
          </cell>
          <cell r="C338">
            <v>79.25</v>
          </cell>
          <cell r="D338">
            <v>26.416666666666668</v>
          </cell>
          <cell r="E338">
            <v>0</v>
          </cell>
        </row>
        <row r="339">
          <cell r="A339">
            <v>318</v>
          </cell>
          <cell r="B339">
            <v>159</v>
          </cell>
          <cell r="C339">
            <v>79.5</v>
          </cell>
          <cell r="D339">
            <v>26.5</v>
          </cell>
          <cell r="E339">
            <v>0</v>
          </cell>
        </row>
        <row r="340">
          <cell r="A340">
            <v>319</v>
          </cell>
          <cell r="B340">
            <v>159.5</v>
          </cell>
          <cell r="C340">
            <v>79.75</v>
          </cell>
          <cell r="D340">
            <v>26.583333333333332</v>
          </cell>
          <cell r="E340">
            <v>0</v>
          </cell>
        </row>
        <row r="341">
          <cell r="A341">
            <v>320</v>
          </cell>
          <cell r="B341">
            <v>160</v>
          </cell>
          <cell r="C341">
            <v>80</v>
          </cell>
          <cell r="D341">
            <v>26.666666666666668</v>
          </cell>
          <cell r="E341">
            <v>0</v>
          </cell>
        </row>
        <row r="342">
          <cell r="A342">
            <v>321</v>
          </cell>
          <cell r="B342">
            <v>160.5</v>
          </cell>
          <cell r="C342">
            <v>80.25</v>
          </cell>
          <cell r="D342">
            <v>26.75</v>
          </cell>
          <cell r="E342">
            <v>0</v>
          </cell>
        </row>
        <row r="343">
          <cell r="A343">
            <v>322</v>
          </cell>
          <cell r="B343">
            <v>161</v>
          </cell>
          <cell r="C343">
            <v>80.5</v>
          </cell>
          <cell r="D343">
            <v>26.833333333333332</v>
          </cell>
          <cell r="E343">
            <v>0</v>
          </cell>
        </row>
        <row r="344">
          <cell r="A344">
            <v>323</v>
          </cell>
          <cell r="B344">
            <v>161.5</v>
          </cell>
          <cell r="C344">
            <v>80.75</v>
          </cell>
          <cell r="D344">
            <v>26.916666666666668</v>
          </cell>
          <cell r="E344">
            <v>0</v>
          </cell>
        </row>
        <row r="345">
          <cell r="A345">
            <v>324</v>
          </cell>
          <cell r="B345">
            <v>162</v>
          </cell>
          <cell r="C345">
            <v>81</v>
          </cell>
          <cell r="D345">
            <v>27</v>
          </cell>
          <cell r="E345">
            <v>0</v>
          </cell>
        </row>
        <row r="346">
          <cell r="A346">
            <v>325</v>
          </cell>
          <cell r="B346">
            <v>162.5</v>
          </cell>
          <cell r="C346">
            <v>81.25</v>
          </cell>
          <cell r="D346">
            <v>27.083333333333332</v>
          </cell>
          <cell r="E346">
            <v>0</v>
          </cell>
        </row>
        <row r="347">
          <cell r="A347">
            <v>326</v>
          </cell>
          <cell r="B347">
            <v>163</v>
          </cell>
          <cell r="C347">
            <v>81.5</v>
          </cell>
          <cell r="D347">
            <v>27.166666666666668</v>
          </cell>
          <cell r="E347">
            <v>0</v>
          </cell>
        </row>
        <row r="348">
          <cell r="A348">
            <v>327</v>
          </cell>
          <cell r="B348">
            <v>163.5</v>
          </cell>
          <cell r="C348">
            <v>81.75</v>
          </cell>
          <cell r="D348">
            <v>27.25</v>
          </cell>
          <cell r="E348">
            <v>0</v>
          </cell>
        </row>
        <row r="349">
          <cell r="A349">
            <v>328</v>
          </cell>
          <cell r="B349">
            <v>164</v>
          </cell>
          <cell r="C349">
            <v>82</v>
          </cell>
          <cell r="D349">
            <v>27.333333333333332</v>
          </cell>
          <cell r="E349">
            <v>0</v>
          </cell>
        </row>
        <row r="350">
          <cell r="A350">
            <v>329</v>
          </cell>
          <cell r="B350">
            <v>164.5</v>
          </cell>
          <cell r="C350">
            <v>82.25</v>
          </cell>
          <cell r="D350">
            <v>27.416666666666668</v>
          </cell>
          <cell r="E350">
            <v>0</v>
          </cell>
        </row>
        <row r="351">
          <cell r="A351">
            <v>330</v>
          </cell>
          <cell r="B351">
            <v>165</v>
          </cell>
          <cell r="C351">
            <v>82.5</v>
          </cell>
          <cell r="D351">
            <v>27.5</v>
          </cell>
          <cell r="E351">
            <v>0</v>
          </cell>
        </row>
        <row r="352">
          <cell r="A352">
            <v>331</v>
          </cell>
          <cell r="B352">
            <v>165.5</v>
          </cell>
          <cell r="C352">
            <v>82.75</v>
          </cell>
          <cell r="D352">
            <v>27.583333333333332</v>
          </cell>
          <cell r="E352">
            <v>0</v>
          </cell>
        </row>
        <row r="353">
          <cell r="A353">
            <v>332</v>
          </cell>
          <cell r="B353">
            <v>166</v>
          </cell>
          <cell r="C353">
            <v>83</v>
          </cell>
          <cell r="D353">
            <v>27.666666666666668</v>
          </cell>
          <cell r="E353">
            <v>0</v>
          </cell>
        </row>
        <row r="354">
          <cell r="A354">
            <v>333</v>
          </cell>
          <cell r="B354">
            <v>166.5</v>
          </cell>
          <cell r="C354">
            <v>83.25</v>
          </cell>
          <cell r="D354">
            <v>27.75</v>
          </cell>
          <cell r="E354">
            <v>0</v>
          </cell>
        </row>
        <row r="355">
          <cell r="A355">
            <v>334</v>
          </cell>
          <cell r="B355">
            <v>167</v>
          </cell>
          <cell r="C355">
            <v>83.5</v>
          </cell>
          <cell r="D355">
            <v>27.833333333333332</v>
          </cell>
          <cell r="E355">
            <v>0</v>
          </cell>
        </row>
        <row r="356">
          <cell r="A356">
            <v>335</v>
          </cell>
          <cell r="B356">
            <v>167.5</v>
          </cell>
          <cell r="C356">
            <v>83.75</v>
          </cell>
          <cell r="D356">
            <v>27.916666666666668</v>
          </cell>
          <cell r="E356">
            <v>0</v>
          </cell>
        </row>
        <row r="357">
          <cell r="A357">
            <v>336</v>
          </cell>
          <cell r="B357">
            <v>168</v>
          </cell>
          <cell r="C357">
            <v>84</v>
          </cell>
          <cell r="D357">
            <v>28</v>
          </cell>
          <cell r="E357">
            <v>0</v>
          </cell>
        </row>
        <row r="358">
          <cell r="A358">
            <v>337</v>
          </cell>
          <cell r="B358">
            <v>168.5</v>
          </cell>
          <cell r="C358">
            <v>84.25</v>
          </cell>
          <cell r="D358">
            <v>28.083333333333332</v>
          </cell>
          <cell r="E358">
            <v>0</v>
          </cell>
        </row>
        <row r="359">
          <cell r="A359">
            <v>338</v>
          </cell>
          <cell r="B359">
            <v>169</v>
          </cell>
          <cell r="C359">
            <v>84.5</v>
          </cell>
          <cell r="D359">
            <v>28.166666666666668</v>
          </cell>
          <cell r="E359">
            <v>0</v>
          </cell>
        </row>
        <row r="360">
          <cell r="A360">
            <v>339</v>
          </cell>
          <cell r="B360">
            <v>169.5</v>
          </cell>
          <cell r="C360">
            <v>84.75</v>
          </cell>
          <cell r="D360">
            <v>28.25</v>
          </cell>
          <cell r="E360">
            <v>0</v>
          </cell>
        </row>
        <row r="361">
          <cell r="A361">
            <v>340</v>
          </cell>
          <cell r="B361">
            <v>170</v>
          </cell>
          <cell r="C361">
            <v>85</v>
          </cell>
          <cell r="D361">
            <v>28.333333333333332</v>
          </cell>
          <cell r="E361">
            <v>0</v>
          </cell>
        </row>
        <row r="362">
          <cell r="A362">
            <v>341</v>
          </cell>
          <cell r="B362">
            <v>170.5</v>
          </cell>
          <cell r="C362">
            <v>85.25</v>
          </cell>
          <cell r="D362">
            <v>28.416666666666668</v>
          </cell>
          <cell r="E362">
            <v>0</v>
          </cell>
        </row>
        <row r="363">
          <cell r="A363">
            <v>342</v>
          </cell>
          <cell r="B363">
            <v>171</v>
          </cell>
          <cell r="C363">
            <v>85.5</v>
          </cell>
          <cell r="D363">
            <v>28.5</v>
          </cell>
          <cell r="E363">
            <v>0</v>
          </cell>
        </row>
        <row r="364">
          <cell r="A364">
            <v>343</v>
          </cell>
          <cell r="B364">
            <v>171.5</v>
          </cell>
          <cell r="C364">
            <v>85.75</v>
          </cell>
          <cell r="D364">
            <v>28.583333333333332</v>
          </cell>
          <cell r="E364">
            <v>0</v>
          </cell>
        </row>
        <row r="365">
          <cell r="A365">
            <v>344</v>
          </cell>
          <cell r="B365">
            <v>172</v>
          </cell>
          <cell r="C365">
            <v>86</v>
          </cell>
          <cell r="D365">
            <v>28.666666666666668</v>
          </cell>
          <cell r="E365">
            <v>0</v>
          </cell>
        </row>
        <row r="366">
          <cell r="A366">
            <v>345</v>
          </cell>
          <cell r="B366">
            <v>172.5</v>
          </cell>
          <cell r="C366">
            <v>86.25</v>
          </cell>
          <cell r="D366">
            <v>28.75</v>
          </cell>
          <cell r="E366">
            <v>0</v>
          </cell>
        </row>
        <row r="367">
          <cell r="A367">
            <v>346</v>
          </cell>
          <cell r="B367">
            <v>173</v>
          </cell>
          <cell r="C367">
            <v>86.5</v>
          </cell>
          <cell r="D367">
            <v>28.833333333333332</v>
          </cell>
          <cell r="E367">
            <v>0</v>
          </cell>
        </row>
        <row r="368">
          <cell r="A368">
            <v>347</v>
          </cell>
          <cell r="B368">
            <v>173.5</v>
          </cell>
          <cell r="C368">
            <v>86.75</v>
          </cell>
          <cell r="D368">
            <v>28.916666666666668</v>
          </cell>
          <cell r="E368">
            <v>0</v>
          </cell>
        </row>
        <row r="369">
          <cell r="A369">
            <v>348</v>
          </cell>
          <cell r="B369">
            <v>174</v>
          </cell>
          <cell r="C369">
            <v>87</v>
          </cell>
          <cell r="D369">
            <v>29</v>
          </cell>
          <cell r="E369">
            <v>0</v>
          </cell>
        </row>
        <row r="370">
          <cell r="A370">
            <v>349</v>
          </cell>
          <cell r="B370">
            <v>174.5</v>
          </cell>
          <cell r="C370">
            <v>87.25</v>
          </cell>
          <cell r="D370">
            <v>29.083333333333332</v>
          </cell>
          <cell r="E370">
            <v>0</v>
          </cell>
        </row>
        <row r="371">
          <cell r="A371">
            <v>350</v>
          </cell>
          <cell r="B371">
            <v>175</v>
          </cell>
          <cell r="C371">
            <v>87.5</v>
          </cell>
          <cell r="D371">
            <v>29.166666666666668</v>
          </cell>
          <cell r="E371">
            <v>0</v>
          </cell>
        </row>
        <row r="372">
          <cell r="A372">
            <v>351</v>
          </cell>
          <cell r="B372">
            <v>175.5</v>
          </cell>
          <cell r="C372">
            <v>87.75</v>
          </cell>
          <cell r="D372">
            <v>29.25</v>
          </cell>
          <cell r="E372">
            <v>0</v>
          </cell>
        </row>
        <row r="373">
          <cell r="A373">
            <v>352</v>
          </cell>
          <cell r="B373">
            <v>176</v>
          </cell>
          <cell r="C373">
            <v>88</v>
          </cell>
          <cell r="D373">
            <v>29.333333333333332</v>
          </cell>
          <cell r="E373">
            <v>0</v>
          </cell>
        </row>
        <row r="374">
          <cell r="A374">
            <v>353</v>
          </cell>
          <cell r="B374">
            <v>176.5</v>
          </cell>
          <cell r="C374">
            <v>88.25</v>
          </cell>
          <cell r="D374">
            <v>29.416666666666668</v>
          </cell>
          <cell r="E374">
            <v>0</v>
          </cell>
        </row>
        <row r="375">
          <cell r="A375">
            <v>354</v>
          </cell>
          <cell r="B375">
            <v>177</v>
          </cell>
          <cell r="C375">
            <v>88.5</v>
          </cell>
          <cell r="D375">
            <v>29.5</v>
          </cell>
          <cell r="E375">
            <v>0</v>
          </cell>
        </row>
        <row r="376">
          <cell r="A376">
            <v>355</v>
          </cell>
          <cell r="B376">
            <v>177.5</v>
          </cell>
          <cell r="C376">
            <v>88.75</v>
          </cell>
          <cell r="D376">
            <v>29.583333333333332</v>
          </cell>
          <cell r="E376">
            <v>0</v>
          </cell>
        </row>
        <row r="377">
          <cell r="A377">
            <v>356</v>
          </cell>
          <cell r="B377">
            <v>178</v>
          </cell>
          <cell r="C377">
            <v>89</v>
          </cell>
          <cell r="D377">
            <v>29.666666666666668</v>
          </cell>
          <cell r="E377">
            <v>0</v>
          </cell>
        </row>
        <row r="378">
          <cell r="A378">
            <v>357</v>
          </cell>
          <cell r="B378">
            <v>178.5</v>
          </cell>
          <cell r="C378">
            <v>89.25</v>
          </cell>
          <cell r="D378">
            <v>29.75</v>
          </cell>
          <cell r="E378">
            <v>0</v>
          </cell>
        </row>
        <row r="379">
          <cell r="A379">
            <v>358</v>
          </cell>
          <cell r="B379">
            <v>179</v>
          </cell>
          <cell r="C379">
            <v>89.5</v>
          </cell>
          <cell r="D379">
            <v>29.833333333333332</v>
          </cell>
          <cell r="E379">
            <v>0</v>
          </cell>
        </row>
        <row r="380">
          <cell r="A380">
            <v>359</v>
          </cell>
          <cell r="B380">
            <v>179.5</v>
          </cell>
          <cell r="C380">
            <v>89.75</v>
          </cell>
          <cell r="D380">
            <v>29.916666666666668</v>
          </cell>
          <cell r="E380">
            <v>0</v>
          </cell>
        </row>
        <row r="381">
          <cell r="A381">
            <v>360</v>
          </cell>
          <cell r="B381">
            <v>180</v>
          </cell>
          <cell r="C381">
            <v>90</v>
          </cell>
          <cell r="D381">
            <v>30</v>
          </cell>
          <cell r="E381">
            <v>0</v>
          </cell>
        </row>
      </sheetData>
      <sheetData sheetId="3">
        <row r="17">
          <cell r="AG17">
            <v>13.893937051241661</v>
          </cell>
        </row>
        <row r="18">
          <cell r="AA18">
            <v>3.2406300630919205</v>
          </cell>
        </row>
        <row r="22">
          <cell r="A22">
            <v>1</v>
          </cell>
          <cell r="B22">
            <v>0.5</v>
          </cell>
          <cell r="C22">
            <v>0.25</v>
          </cell>
          <cell r="D22">
            <v>8.3333333333333329E-2</v>
          </cell>
          <cell r="E22">
            <v>9905815.2026045751</v>
          </cell>
        </row>
        <row r="23">
          <cell r="A23">
            <v>2</v>
          </cell>
          <cell r="B23">
            <v>1</v>
          </cell>
          <cell r="C23">
            <v>0.5</v>
          </cell>
          <cell r="D23">
            <v>0.16666666666666666</v>
          </cell>
          <cell r="E23">
            <v>9811825.6229764167</v>
          </cell>
        </row>
        <row r="24">
          <cell r="A24">
            <v>3</v>
          </cell>
          <cell r="B24">
            <v>1.5</v>
          </cell>
          <cell r="C24">
            <v>0.75</v>
          </cell>
          <cell r="D24">
            <v>0.25</v>
          </cell>
          <cell r="E24">
            <v>9718030.9184419829</v>
          </cell>
        </row>
        <row r="25">
          <cell r="A25">
            <v>4</v>
          </cell>
          <cell r="B25">
            <v>2</v>
          </cell>
          <cell r="C25">
            <v>1</v>
          </cell>
          <cell r="D25">
            <v>0.33333333333333331</v>
          </cell>
          <cell r="E25">
            <v>9624430.7469040286</v>
          </cell>
        </row>
        <row r="26">
          <cell r="A26">
            <v>5</v>
          </cell>
          <cell r="B26">
            <v>2.5</v>
          </cell>
          <cell r="C26">
            <v>1.25</v>
          </cell>
          <cell r="D26">
            <v>0.41666666666666669</v>
          </cell>
          <cell r="E26">
            <v>9531024.7668406479</v>
          </cell>
        </row>
        <row r="27">
          <cell r="A27">
            <v>6</v>
          </cell>
          <cell r="B27">
            <v>3</v>
          </cell>
          <cell r="C27">
            <v>1.5</v>
          </cell>
          <cell r="D27">
            <v>0.5</v>
          </cell>
          <cell r="E27">
            <v>9437812.6373043209</v>
          </cell>
        </row>
        <row r="28">
          <cell r="A28">
            <v>7</v>
          </cell>
          <cell r="B28">
            <v>3.5</v>
          </cell>
          <cell r="C28">
            <v>1.75</v>
          </cell>
          <cell r="D28">
            <v>0.58333333333333337</v>
          </cell>
          <cell r="E28">
            <v>9344794.0179209579</v>
          </cell>
        </row>
        <row r="29">
          <cell r="A29">
            <v>8</v>
          </cell>
          <cell r="B29">
            <v>4</v>
          </cell>
          <cell r="C29">
            <v>2</v>
          </cell>
          <cell r="D29">
            <v>0.66666666666666663</v>
          </cell>
          <cell r="E29">
            <v>9251968.5688889474</v>
          </cell>
        </row>
        <row r="30">
          <cell r="A30">
            <v>9</v>
          </cell>
          <cell r="B30">
            <v>4.5</v>
          </cell>
          <cell r="C30">
            <v>2.25</v>
          </cell>
          <cell r="D30">
            <v>0.75</v>
          </cell>
          <cell r="E30">
            <v>9159335.9509782083</v>
          </cell>
        </row>
        <row r="31">
          <cell r="A31">
            <v>10</v>
          </cell>
          <cell r="B31">
            <v>5</v>
          </cell>
          <cell r="C31">
            <v>2.5</v>
          </cell>
          <cell r="D31">
            <v>0.83333333333333337</v>
          </cell>
          <cell r="E31">
            <v>9066895.8255292345</v>
          </cell>
        </row>
        <row r="32">
          <cell r="A32">
            <v>11</v>
          </cell>
          <cell r="B32">
            <v>5.5</v>
          </cell>
          <cell r="C32">
            <v>2.75</v>
          </cell>
          <cell r="D32">
            <v>0.91666666666666663</v>
          </cell>
          <cell r="E32">
            <v>8974647.8544521499</v>
          </cell>
        </row>
        <row r="33">
          <cell r="A33">
            <v>12</v>
          </cell>
          <cell r="B33">
            <v>6</v>
          </cell>
          <cell r="C33">
            <v>3</v>
          </cell>
          <cell r="D33">
            <v>1</v>
          </cell>
          <cell r="E33">
            <v>8882591.7002257667</v>
          </cell>
        </row>
        <row r="34">
          <cell r="A34">
            <v>13</v>
          </cell>
          <cell r="B34">
            <v>6.5</v>
          </cell>
          <cell r="C34">
            <v>3.25</v>
          </cell>
          <cell r="D34">
            <v>1.0833333333333333</v>
          </cell>
          <cell r="E34">
            <v>8790727.0258966368</v>
          </cell>
        </row>
        <row r="35">
          <cell r="A35">
            <v>14</v>
          </cell>
          <cell r="B35">
            <v>7</v>
          </cell>
          <cell r="C35">
            <v>3.5</v>
          </cell>
          <cell r="D35">
            <v>1.1666666666666667</v>
          </cell>
          <cell r="E35">
            <v>8699053.4950781073</v>
          </cell>
        </row>
        <row r="36">
          <cell r="A36">
            <v>15</v>
          </cell>
          <cell r="B36">
            <v>7.5</v>
          </cell>
          <cell r="C36">
            <v>3.75</v>
          </cell>
          <cell r="D36">
            <v>1.25</v>
          </cell>
          <cell r="E36">
            <v>8607570.7719493844</v>
          </cell>
        </row>
        <row r="37">
          <cell r="A37">
            <v>16</v>
          </cell>
          <cell r="B37">
            <v>8</v>
          </cell>
          <cell r="C37">
            <v>4</v>
          </cell>
          <cell r="D37">
            <v>1.3333333333333333</v>
          </cell>
          <cell r="E37">
            <v>8516278.5212545879</v>
          </cell>
        </row>
        <row r="38">
          <cell r="A38">
            <v>17</v>
          </cell>
          <cell r="B38">
            <v>8.5</v>
          </cell>
          <cell r="C38">
            <v>4.25</v>
          </cell>
          <cell r="D38">
            <v>1.4166666666666667</v>
          </cell>
          <cell r="E38">
            <v>8425176.4083018173</v>
          </cell>
        </row>
        <row r="39">
          <cell r="A39">
            <v>18</v>
          </cell>
          <cell r="B39">
            <v>9</v>
          </cell>
          <cell r="C39">
            <v>4.5</v>
          </cell>
          <cell r="D39">
            <v>1.5</v>
          </cell>
          <cell r="E39">
            <v>8334264.0989622101</v>
          </cell>
        </row>
        <row r="40">
          <cell r="A40">
            <v>19</v>
          </cell>
          <cell r="B40">
            <v>9.5</v>
          </cell>
          <cell r="C40">
            <v>4.75</v>
          </cell>
          <cell r="D40">
            <v>1.5833333333333333</v>
          </cell>
          <cell r="E40">
            <v>8243541.2596690133</v>
          </cell>
        </row>
        <row r="41">
          <cell r="A41">
            <v>20</v>
          </cell>
          <cell r="B41">
            <v>10</v>
          </cell>
          <cell r="C41">
            <v>5</v>
          </cell>
          <cell r="D41">
            <v>1.6666666666666667</v>
          </cell>
          <cell r="E41">
            <v>8153007.5574166458</v>
          </cell>
        </row>
        <row r="42">
          <cell r="A42">
            <v>21</v>
          </cell>
          <cell r="B42">
            <v>10.5</v>
          </cell>
          <cell r="C42">
            <v>5.25</v>
          </cell>
          <cell r="D42">
            <v>1.75</v>
          </cell>
          <cell r="E42">
            <v>8062662.6597597664</v>
          </cell>
        </row>
        <row r="43">
          <cell r="A43">
            <v>22</v>
          </cell>
          <cell r="B43">
            <v>11</v>
          </cell>
          <cell r="C43">
            <v>5.5</v>
          </cell>
          <cell r="D43">
            <v>1.8333333333333333</v>
          </cell>
          <cell r="E43">
            <v>7972506.2348123435</v>
          </cell>
        </row>
        <row r="44">
          <cell r="A44">
            <v>23</v>
          </cell>
          <cell r="B44">
            <v>11.5</v>
          </cell>
          <cell r="C44">
            <v>5.75</v>
          </cell>
          <cell r="D44">
            <v>1.9166666666666667</v>
          </cell>
          <cell r="E44">
            <v>7882537.9512467263</v>
          </cell>
        </row>
        <row r="45">
          <cell r="A45">
            <v>24</v>
          </cell>
          <cell r="B45">
            <v>12</v>
          </cell>
          <cell r="C45">
            <v>6</v>
          </cell>
          <cell r="D45">
            <v>2</v>
          </cell>
          <cell r="E45">
            <v>7792757.4782927195</v>
          </cell>
        </row>
        <row r="46">
          <cell r="A46">
            <v>25</v>
          </cell>
          <cell r="B46">
            <v>12.5</v>
          </cell>
          <cell r="C46">
            <v>6.25</v>
          </cell>
          <cell r="D46">
            <v>2.0833333333333335</v>
          </cell>
          <cell r="E46">
            <v>7703164.4857366532</v>
          </cell>
        </row>
        <row r="47">
          <cell r="A47">
            <v>26</v>
          </cell>
          <cell r="B47">
            <v>13</v>
          </cell>
          <cell r="C47">
            <v>6.5</v>
          </cell>
          <cell r="D47">
            <v>2.1666666666666665</v>
          </cell>
          <cell r="E47">
            <v>7613758.6439204607</v>
          </cell>
        </row>
        <row r="48">
          <cell r="A48">
            <v>27</v>
          </cell>
          <cell r="B48">
            <v>13.5</v>
          </cell>
          <cell r="C48">
            <v>6.75</v>
          </cell>
          <cell r="D48">
            <v>2.25</v>
          </cell>
          <cell r="E48">
            <v>7524539.6237407569</v>
          </cell>
        </row>
        <row r="49">
          <cell r="A49">
            <v>28</v>
          </cell>
          <cell r="B49">
            <v>14</v>
          </cell>
          <cell r="C49">
            <v>7</v>
          </cell>
          <cell r="D49">
            <v>2.3333333333333335</v>
          </cell>
          <cell r="E49">
            <v>7435507.0966479154</v>
          </cell>
        </row>
        <row r="50">
          <cell r="A50">
            <v>29</v>
          </cell>
          <cell r="B50">
            <v>14.5</v>
          </cell>
          <cell r="C50">
            <v>7.25</v>
          </cell>
          <cell r="D50">
            <v>2.4166666666666665</v>
          </cell>
          <cell r="E50">
            <v>7346660.7346451487</v>
          </cell>
        </row>
        <row r="51">
          <cell r="A51">
            <v>30</v>
          </cell>
          <cell r="B51">
            <v>15</v>
          </cell>
          <cell r="C51">
            <v>7.5</v>
          </cell>
          <cell r="D51">
            <v>2.5</v>
          </cell>
          <cell r="E51">
            <v>7258000.2102875896</v>
          </cell>
        </row>
        <row r="52">
          <cell r="A52">
            <v>31</v>
          </cell>
          <cell r="B52">
            <v>15.5</v>
          </cell>
          <cell r="C52">
            <v>7.75</v>
          </cell>
          <cell r="D52">
            <v>2.5833333333333335</v>
          </cell>
          <cell r="E52">
            <v>7169525.1966813765</v>
          </cell>
        </row>
        <row r="53">
          <cell r="A53">
            <v>32</v>
          </cell>
          <cell r="B53">
            <v>16</v>
          </cell>
          <cell r="C53">
            <v>8</v>
          </cell>
          <cell r="D53">
            <v>2.6666666666666665</v>
          </cell>
          <cell r="E53">
            <v>7081235.3674827367</v>
          </cell>
        </row>
        <row r="54">
          <cell r="A54">
            <v>33</v>
          </cell>
          <cell r="B54">
            <v>16.5</v>
          </cell>
          <cell r="C54">
            <v>8.25</v>
          </cell>
          <cell r="D54">
            <v>2.75</v>
          </cell>
          <cell r="E54">
            <v>6993130.396897072</v>
          </cell>
        </row>
        <row r="55">
          <cell r="A55">
            <v>34</v>
          </cell>
          <cell r="B55">
            <v>17</v>
          </cell>
          <cell r="C55">
            <v>8.5</v>
          </cell>
          <cell r="D55">
            <v>2.8333333333333335</v>
          </cell>
          <cell r="E55">
            <v>6905209.9596780464</v>
          </cell>
        </row>
        <row r="56">
          <cell r="A56">
            <v>35</v>
          </cell>
          <cell r="B56">
            <v>17.5</v>
          </cell>
          <cell r="C56">
            <v>8.75</v>
          </cell>
          <cell r="D56">
            <v>2.9166666666666665</v>
          </cell>
          <cell r="E56">
            <v>6817473.7311266782</v>
          </cell>
        </row>
        <row r="57">
          <cell r="A57">
            <v>36</v>
          </cell>
          <cell r="B57">
            <v>18</v>
          </cell>
          <cell r="C57">
            <v>9</v>
          </cell>
          <cell r="D57">
            <v>3</v>
          </cell>
          <cell r="E57">
            <v>6729921.3870904269</v>
          </cell>
        </row>
        <row r="58">
          <cell r="A58">
            <v>37</v>
          </cell>
          <cell r="B58">
            <v>18.5</v>
          </cell>
          <cell r="C58">
            <v>9.25</v>
          </cell>
          <cell r="D58">
            <v>3.0833333333333335</v>
          </cell>
          <cell r="E58">
            <v>6642552.6039622892</v>
          </cell>
        </row>
        <row r="59">
          <cell r="A59">
            <v>38</v>
          </cell>
          <cell r="B59">
            <v>19</v>
          </cell>
          <cell r="C59">
            <v>9.5</v>
          </cell>
          <cell r="D59">
            <v>3.1666666666666665</v>
          </cell>
          <cell r="E59">
            <v>6555367.058679889</v>
          </cell>
        </row>
        <row r="60">
          <cell r="A60">
            <v>39</v>
          </cell>
          <cell r="B60">
            <v>19.5</v>
          </cell>
          <cell r="C60">
            <v>9.75</v>
          </cell>
          <cell r="D60">
            <v>3.25</v>
          </cell>
          <cell r="E60">
            <v>6468364.4287245786</v>
          </cell>
        </row>
        <row r="61">
          <cell r="A61">
            <v>40</v>
          </cell>
          <cell r="B61">
            <v>20</v>
          </cell>
          <cell r="C61">
            <v>10</v>
          </cell>
          <cell r="D61">
            <v>3.3333333333333335</v>
          </cell>
          <cell r="E61">
            <v>6381544.3921205262</v>
          </cell>
        </row>
        <row r="62">
          <cell r="A62">
            <v>41</v>
          </cell>
          <cell r="B62">
            <v>20.5</v>
          </cell>
          <cell r="C62">
            <v>10.25</v>
          </cell>
          <cell r="D62">
            <v>3.4166666666666665</v>
          </cell>
          <cell r="E62">
            <v>6294906.6274338244</v>
          </cell>
        </row>
        <row r="63">
          <cell r="A63">
            <v>42</v>
          </cell>
          <cell r="B63">
            <v>21</v>
          </cell>
          <cell r="C63">
            <v>10.5</v>
          </cell>
          <cell r="D63">
            <v>3.5</v>
          </cell>
          <cell r="E63">
            <v>6208450.8137715822</v>
          </cell>
        </row>
        <row r="64">
          <cell r="A64">
            <v>43</v>
          </cell>
          <cell r="B64">
            <v>21.5</v>
          </cell>
          <cell r="C64">
            <v>10.75</v>
          </cell>
          <cell r="D64">
            <v>3.5833333333333335</v>
          </cell>
          <cell r="E64">
            <v>6122176.6307810321</v>
          </cell>
        </row>
        <row r="65">
          <cell r="A65">
            <v>44</v>
          </cell>
          <cell r="B65">
            <v>22</v>
          </cell>
          <cell r="C65">
            <v>11</v>
          </cell>
          <cell r="D65">
            <v>3.6666666666666665</v>
          </cell>
          <cell r="E65">
            <v>6036083.7586486265</v>
          </cell>
        </row>
        <row r="66">
          <cell r="A66">
            <v>45</v>
          </cell>
          <cell r="B66">
            <v>22.5</v>
          </cell>
          <cell r="C66">
            <v>11.25</v>
          </cell>
          <cell r="D66">
            <v>3.75</v>
          </cell>
          <cell r="E66">
            <v>5950171.8780991491</v>
          </cell>
        </row>
        <row r="67">
          <cell r="A67">
            <v>46</v>
          </cell>
          <cell r="B67">
            <v>23</v>
          </cell>
          <cell r="C67">
            <v>11.5</v>
          </cell>
          <cell r="D67">
            <v>3.8333333333333335</v>
          </cell>
          <cell r="E67">
            <v>5864440.6703948155</v>
          </cell>
        </row>
        <row r="68">
          <cell r="A68">
            <v>47</v>
          </cell>
          <cell r="B68">
            <v>23.5</v>
          </cell>
          <cell r="C68">
            <v>11.75</v>
          </cell>
          <cell r="D68">
            <v>3.9166666666666665</v>
          </cell>
          <cell r="E68">
            <v>5778889.8173343819</v>
          </cell>
        </row>
        <row r="69">
          <cell r="A69">
            <v>48</v>
          </cell>
          <cell r="B69">
            <v>24</v>
          </cell>
          <cell r="C69">
            <v>12</v>
          </cell>
          <cell r="D69">
            <v>4</v>
          </cell>
          <cell r="E69">
            <v>5693519.0012522535</v>
          </cell>
        </row>
        <row r="70">
          <cell r="A70">
            <v>49</v>
          </cell>
          <cell r="B70">
            <v>24.5</v>
          </cell>
          <cell r="C70">
            <v>12.25</v>
          </cell>
          <cell r="D70">
            <v>4.083333333333333</v>
          </cell>
          <cell r="E70">
            <v>5608327.9050175967</v>
          </cell>
        </row>
        <row r="71">
          <cell r="A71">
            <v>50</v>
          </cell>
          <cell r="B71">
            <v>25</v>
          </cell>
          <cell r="C71">
            <v>12.5</v>
          </cell>
          <cell r="D71">
            <v>4.166666666666667</v>
          </cell>
          <cell r="E71">
            <v>5523316.2120334478</v>
          </cell>
        </row>
        <row r="72">
          <cell r="A72">
            <v>51</v>
          </cell>
          <cell r="B72">
            <v>25.5</v>
          </cell>
          <cell r="C72">
            <v>12.75</v>
          </cell>
          <cell r="D72">
            <v>4.25</v>
          </cell>
          <cell r="E72">
            <v>5438483.6062358264</v>
          </cell>
        </row>
        <row r="73">
          <cell r="A73">
            <v>52</v>
          </cell>
          <cell r="B73">
            <v>26</v>
          </cell>
          <cell r="C73">
            <v>13</v>
          </cell>
          <cell r="D73">
            <v>4.333333333333333</v>
          </cell>
          <cell r="E73">
            <v>5353829.7720928537</v>
          </cell>
        </row>
        <row r="74">
          <cell r="A74">
            <v>53</v>
          </cell>
          <cell r="B74">
            <v>26.5</v>
          </cell>
          <cell r="C74">
            <v>13.25</v>
          </cell>
          <cell r="D74">
            <v>4.416666666666667</v>
          </cell>
          <cell r="E74">
            <v>5269354.3946038634</v>
          </cell>
        </row>
        <row r="75">
          <cell r="A75">
            <v>54</v>
          </cell>
          <cell r="B75">
            <v>27</v>
          </cell>
          <cell r="C75">
            <v>13.5</v>
          </cell>
          <cell r="D75">
            <v>4.5</v>
          </cell>
          <cell r="E75">
            <v>5185057.1592985243</v>
          </cell>
        </row>
        <row r="76">
          <cell r="A76">
            <v>55</v>
          </cell>
          <cell r="B76">
            <v>27.5</v>
          </cell>
          <cell r="C76">
            <v>13.75</v>
          </cell>
          <cell r="D76">
            <v>4.583333333333333</v>
          </cell>
          <cell r="E76">
            <v>5100937.7522359537</v>
          </cell>
        </row>
        <row r="77">
          <cell r="A77">
            <v>56</v>
          </cell>
          <cell r="B77">
            <v>28</v>
          </cell>
          <cell r="C77">
            <v>14</v>
          </cell>
          <cell r="D77">
            <v>4.666666666666667</v>
          </cell>
          <cell r="E77">
            <v>5016995.860003842</v>
          </cell>
        </row>
        <row r="78">
          <cell r="A78">
            <v>57</v>
          </cell>
          <cell r="B78">
            <v>28.5</v>
          </cell>
          <cell r="C78">
            <v>14.25</v>
          </cell>
          <cell r="D78">
            <v>4.75</v>
          </cell>
          <cell r="E78">
            <v>4933231.1697175736</v>
          </cell>
        </row>
        <row r="79">
          <cell r="A79">
            <v>58</v>
          </cell>
          <cell r="B79">
            <v>29</v>
          </cell>
          <cell r="C79">
            <v>14.5</v>
          </cell>
          <cell r="D79">
            <v>4.833333333333333</v>
          </cell>
          <cell r="E79">
            <v>4849643.3690193491</v>
          </cell>
        </row>
        <row r="80">
          <cell r="A80">
            <v>59</v>
          </cell>
          <cell r="B80">
            <v>29.5</v>
          </cell>
          <cell r="C80">
            <v>14.75</v>
          </cell>
          <cell r="D80">
            <v>4.916666666666667</v>
          </cell>
          <cell r="E80">
            <v>4766232.1460773116</v>
          </cell>
        </row>
        <row r="81">
          <cell r="A81">
            <v>60</v>
          </cell>
          <cell r="B81">
            <v>30</v>
          </cell>
          <cell r="C81">
            <v>15</v>
          </cell>
          <cell r="D81">
            <v>5</v>
          </cell>
          <cell r="E81">
            <v>4682997.1895846725</v>
          </cell>
        </row>
        <row r="82">
          <cell r="A82">
            <v>61</v>
          </cell>
          <cell r="B82">
            <v>30.5</v>
          </cell>
          <cell r="C82">
            <v>15.25</v>
          </cell>
          <cell r="D82">
            <v>5.083333333333333</v>
          </cell>
          <cell r="E82">
            <v>4599938.1887588371</v>
          </cell>
        </row>
        <row r="83">
          <cell r="A83">
            <v>62</v>
          </cell>
          <cell r="B83">
            <v>31</v>
          </cell>
          <cell r="C83">
            <v>15.5</v>
          </cell>
          <cell r="D83">
            <v>5.166666666666667</v>
          </cell>
          <cell r="E83">
            <v>4517054.8333405377</v>
          </cell>
        </row>
        <row r="84">
          <cell r="A84">
            <v>63</v>
          </cell>
          <cell r="B84">
            <v>31.5</v>
          </cell>
          <cell r="C84">
            <v>15.75</v>
          </cell>
          <cell r="D84">
            <v>5.25</v>
          </cell>
          <cell r="E84">
            <v>4434346.813592962</v>
          </cell>
        </row>
        <row r="85">
          <cell r="A85">
            <v>64</v>
          </cell>
          <cell r="B85">
            <v>32</v>
          </cell>
          <cell r="C85">
            <v>16</v>
          </cell>
          <cell r="D85">
            <v>5.333333333333333</v>
          </cell>
          <cell r="E85">
            <v>4351813.8203008836</v>
          </cell>
        </row>
        <row r="86">
          <cell r="A86">
            <v>65</v>
          </cell>
          <cell r="B86">
            <v>32.5</v>
          </cell>
          <cell r="C86">
            <v>16.25</v>
          </cell>
          <cell r="D86">
            <v>5.416666666666667</v>
          </cell>
          <cell r="E86">
            <v>4269455.5447697965</v>
          </cell>
        </row>
        <row r="87">
          <cell r="A87">
            <v>66</v>
          </cell>
          <cell r="B87">
            <v>33</v>
          </cell>
          <cell r="C87">
            <v>16.5</v>
          </cell>
          <cell r="D87">
            <v>5.5</v>
          </cell>
          <cell r="E87">
            <v>4187271.6788250529</v>
          </cell>
        </row>
        <row r="88">
          <cell r="A88">
            <v>67</v>
          </cell>
          <cell r="B88">
            <v>33.5</v>
          </cell>
          <cell r="C88">
            <v>16.75</v>
          </cell>
          <cell r="D88">
            <v>5.583333333333333</v>
          </cell>
          <cell r="E88">
            <v>4105261.9148109946</v>
          </cell>
        </row>
        <row r="89">
          <cell r="A89">
            <v>68</v>
          </cell>
          <cell r="B89">
            <v>34</v>
          </cell>
          <cell r="C89">
            <v>17</v>
          </cell>
          <cell r="D89">
            <v>5.666666666666667</v>
          </cell>
          <cell r="E89">
            <v>4023425.9455900947</v>
          </cell>
        </row>
        <row r="90">
          <cell r="A90">
            <v>69</v>
          </cell>
          <cell r="B90">
            <v>34.5</v>
          </cell>
          <cell r="C90">
            <v>17.25</v>
          </cell>
          <cell r="D90">
            <v>5.75</v>
          </cell>
          <cell r="E90">
            <v>3941763.4645420937</v>
          </cell>
        </row>
        <row r="91">
          <cell r="A91">
            <v>70</v>
          </cell>
          <cell r="B91">
            <v>35</v>
          </cell>
          <cell r="C91">
            <v>17.5</v>
          </cell>
          <cell r="D91">
            <v>5.833333333333333</v>
          </cell>
          <cell r="E91">
            <v>3860274.1655631424</v>
          </cell>
        </row>
        <row r="92">
          <cell r="A92">
            <v>71</v>
          </cell>
          <cell r="B92">
            <v>35.5</v>
          </cell>
          <cell r="C92">
            <v>17.75</v>
          </cell>
          <cell r="D92">
            <v>5.916666666666667</v>
          </cell>
          <cell r="E92">
            <v>3778957.7430649432</v>
          </cell>
        </row>
        <row r="93">
          <cell r="A93">
            <v>72</v>
          </cell>
          <cell r="B93">
            <v>36</v>
          </cell>
          <cell r="C93">
            <v>18</v>
          </cell>
          <cell r="D93">
            <v>6</v>
          </cell>
          <cell r="E93">
            <v>3697813.8919738927</v>
          </cell>
        </row>
        <row r="94">
          <cell r="A94">
            <v>73</v>
          </cell>
          <cell r="B94">
            <v>36.5</v>
          </cell>
          <cell r="C94">
            <v>18.25</v>
          </cell>
          <cell r="D94">
            <v>6.083333333333333</v>
          </cell>
          <cell r="E94">
            <v>3616842.3077302277</v>
          </cell>
        </row>
        <row r="95">
          <cell r="A95">
            <v>74</v>
          </cell>
          <cell r="B95">
            <v>37</v>
          </cell>
          <cell r="C95">
            <v>18.5</v>
          </cell>
          <cell r="D95">
            <v>6.166666666666667</v>
          </cell>
          <cell r="E95">
            <v>3536042.6862871707</v>
          </cell>
        </row>
        <row r="96">
          <cell r="A96">
            <v>75</v>
          </cell>
          <cell r="B96">
            <v>37.5</v>
          </cell>
          <cell r="C96">
            <v>18.75</v>
          </cell>
          <cell r="D96">
            <v>6.25</v>
          </cell>
          <cell r="E96">
            <v>3455414.7241100785</v>
          </cell>
        </row>
        <row r="97">
          <cell r="A97">
            <v>76</v>
          </cell>
          <cell r="B97">
            <v>38</v>
          </cell>
          <cell r="C97">
            <v>19</v>
          </cell>
          <cell r="D97">
            <v>6.333333333333333</v>
          </cell>
          <cell r="E97">
            <v>3374958.1181755899</v>
          </cell>
        </row>
        <row r="98">
          <cell r="A98">
            <v>77</v>
          </cell>
          <cell r="B98">
            <v>38.5</v>
          </cell>
          <cell r="C98">
            <v>19.25</v>
          </cell>
          <cell r="D98">
            <v>6.416666666666667</v>
          </cell>
          <cell r="E98">
            <v>3294672.5659707766</v>
          </cell>
        </row>
        <row r="99">
          <cell r="A99">
            <v>78</v>
          </cell>
          <cell r="B99">
            <v>39</v>
          </cell>
          <cell r="C99">
            <v>19.5</v>
          </cell>
          <cell r="D99">
            <v>6.5</v>
          </cell>
          <cell r="E99">
            <v>3214557.7654922958</v>
          </cell>
        </row>
        <row r="100">
          <cell r="A100">
            <v>79</v>
          </cell>
          <cell r="B100">
            <v>39.5</v>
          </cell>
          <cell r="C100">
            <v>19.75</v>
          </cell>
          <cell r="D100">
            <v>6.583333333333333</v>
          </cell>
          <cell r="E100">
            <v>3134613.4152455437</v>
          </cell>
        </row>
        <row r="101">
          <cell r="A101">
            <v>80</v>
          </cell>
          <cell r="B101">
            <v>40</v>
          </cell>
          <cell r="C101">
            <v>20</v>
          </cell>
          <cell r="D101">
            <v>6.666666666666667</v>
          </cell>
          <cell r="E101">
            <v>3054839.2142438078</v>
          </cell>
        </row>
        <row r="102">
          <cell r="A102">
            <v>81</v>
          </cell>
          <cell r="B102">
            <v>40.5</v>
          </cell>
          <cell r="C102">
            <v>20.25</v>
          </cell>
          <cell r="D102">
            <v>6.75</v>
          </cell>
          <cell r="E102">
            <v>2975234.8620074266</v>
          </cell>
        </row>
        <row r="103">
          <cell r="A103">
            <v>82</v>
          </cell>
          <cell r="B103">
            <v>41</v>
          </cell>
          <cell r="C103">
            <v>20.5</v>
          </cell>
          <cell r="D103">
            <v>6.833333333333333</v>
          </cell>
          <cell r="E103">
            <v>2895800.0585629437</v>
          </cell>
        </row>
        <row r="104">
          <cell r="A104">
            <v>83</v>
          </cell>
          <cell r="B104">
            <v>41.5</v>
          </cell>
          <cell r="C104">
            <v>20.75</v>
          </cell>
          <cell r="D104">
            <v>6.916666666666667</v>
          </cell>
          <cell r="E104">
            <v>2816534.5044422699</v>
          </cell>
        </row>
        <row r="105">
          <cell r="A105">
            <v>84</v>
          </cell>
          <cell r="B105">
            <v>42</v>
          </cell>
          <cell r="C105">
            <v>21</v>
          </cell>
          <cell r="D105">
            <v>7</v>
          </cell>
          <cell r="E105">
            <v>2737437.9006818398</v>
          </cell>
        </row>
        <row r="106">
          <cell r="A106">
            <v>85</v>
          </cell>
          <cell r="B106">
            <v>42.5</v>
          </cell>
          <cell r="C106">
            <v>21.25</v>
          </cell>
          <cell r="D106">
            <v>7.083333333333333</v>
          </cell>
          <cell r="E106">
            <v>2658509.9488217775</v>
          </cell>
        </row>
        <row r="107">
          <cell r="A107">
            <v>86</v>
          </cell>
          <cell r="B107">
            <v>43</v>
          </cell>
          <cell r="C107">
            <v>21.5</v>
          </cell>
          <cell r="D107">
            <v>7.166666666666667</v>
          </cell>
          <cell r="E107">
            <v>2579750.3509050556</v>
          </cell>
        </row>
        <row r="108">
          <cell r="A108">
            <v>87</v>
          </cell>
          <cell r="B108">
            <v>43.5</v>
          </cell>
          <cell r="C108">
            <v>21.75</v>
          </cell>
          <cell r="D108">
            <v>7.25</v>
          </cell>
          <cell r="E108">
            <v>2501158.8094766629</v>
          </cell>
        </row>
        <row r="109">
          <cell r="A109">
            <v>88</v>
          </cell>
          <cell r="B109">
            <v>44</v>
          </cell>
          <cell r="C109">
            <v>22</v>
          </cell>
          <cell r="D109">
            <v>7.333333333333333</v>
          </cell>
          <cell r="E109">
            <v>2422735.0275827688</v>
          </cell>
        </row>
        <row r="110">
          <cell r="A110">
            <v>89</v>
          </cell>
          <cell r="B110">
            <v>44.5</v>
          </cell>
          <cell r="C110">
            <v>22.25</v>
          </cell>
          <cell r="D110">
            <v>7.416666666666667</v>
          </cell>
          <cell r="E110">
            <v>2344478.7087698905</v>
          </cell>
        </row>
        <row r="111">
          <cell r="A111">
            <v>90</v>
          </cell>
          <cell r="B111">
            <v>45</v>
          </cell>
          <cell r="C111">
            <v>22.5</v>
          </cell>
          <cell r="D111">
            <v>7.5</v>
          </cell>
          <cell r="E111">
            <v>2266389.5570840617</v>
          </cell>
        </row>
        <row r="112">
          <cell r="A112">
            <v>91</v>
          </cell>
          <cell r="B112">
            <v>45.5</v>
          </cell>
          <cell r="C112">
            <v>22.75</v>
          </cell>
          <cell r="D112">
            <v>7.583333333333333</v>
          </cell>
          <cell r="E112">
            <v>2188467.2770700026</v>
          </cell>
        </row>
        <row r="113">
          <cell r="A113">
            <v>92</v>
          </cell>
          <cell r="B113">
            <v>46</v>
          </cell>
          <cell r="C113">
            <v>23</v>
          </cell>
          <cell r="D113">
            <v>7.666666666666667</v>
          </cell>
          <cell r="E113">
            <v>2110711.5737702907</v>
          </cell>
        </row>
        <row r="114">
          <cell r="A114">
            <v>93</v>
          </cell>
          <cell r="B114">
            <v>46.5</v>
          </cell>
          <cell r="C114">
            <v>23.25</v>
          </cell>
          <cell r="D114">
            <v>7.75</v>
          </cell>
          <cell r="E114">
            <v>2033122.152724535</v>
          </cell>
        </row>
        <row r="115">
          <cell r="A115">
            <v>94</v>
          </cell>
          <cell r="B115">
            <v>47</v>
          </cell>
          <cell r="C115">
            <v>23.5</v>
          </cell>
          <cell r="D115">
            <v>7.833333333333333</v>
          </cell>
          <cell r="E115">
            <v>1955698.7199685485</v>
          </cell>
        </row>
        <row r="116">
          <cell r="A116">
            <v>95</v>
          </cell>
          <cell r="B116">
            <v>47.5</v>
          </cell>
          <cell r="C116">
            <v>23.75</v>
          </cell>
          <cell r="D116">
            <v>7.916666666666667</v>
          </cell>
          <cell r="E116">
            <v>1878440.9820335242</v>
          </cell>
        </row>
        <row r="117">
          <cell r="A117">
            <v>96</v>
          </cell>
          <cell r="B117">
            <v>48</v>
          </cell>
          <cell r="C117">
            <v>24</v>
          </cell>
          <cell r="D117">
            <v>8</v>
          </cell>
          <cell r="E117">
            <v>1801348.6459452121</v>
          </cell>
        </row>
        <row r="118">
          <cell r="A118">
            <v>97</v>
          </cell>
          <cell r="B118">
            <v>48.5</v>
          </cell>
          <cell r="C118">
            <v>24.25</v>
          </cell>
          <cell r="D118">
            <v>8.0833333333333339</v>
          </cell>
          <cell r="E118">
            <v>1724421.4192230969</v>
          </cell>
        </row>
        <row r="119">
          <cell r="A119">
            <v>98</v>
          </cell>
          <cell r="B119">
            <v>49</v>
          </cell>
          <cell r="C119">
            <v>24.5</v>
          </cell>
          <cell r="D119">
            <v>8.1666666666666661</v>
          </cell>
          <cell r="E119">
            <v>1647659.0098795781</v>
          </cell>
        </row>
        <row r="120">
          <cell r="A120">
            <v>99</v>
          </cell>
          <cell r="B120">
            <v>49.5</v>
          </cell>
          <cell r="C120">
            <v>24.75</v>
          </cell>
          <cell r="D120">
            <v>8.25</v>
          </cell>
          <cell r="E120">
            <v>1571061.12641915</v>
          </cell>
        </row>
        <row r="121">
          <cell r="A121">
            <v>100</v>
          </cell>
          <cell r="B121">
            <v>50</v>
          </cell>
          <cell r="C121">
            <v>25</v>
          </cell>
          <cell r="D121">
            <v>8.3333333333333339</v>
          </cell>
          <cell r="E121">
            <v>1494627.4778375851</v>
          </cell>
        </row>
        <row r="122">
          <cell r="A122">
            <v>101</v>
          </cell>
          <cell r="B122">
            <v>50.5</v>
          </cell>
          <cell r="C122">
            <v>25.25</v>
          </cell>
          <cell r="D122">
            <v>8.4166666666666661</v>
          </cell>
          <cell r="E122">
            <v>1418357.773621117</v>
          </cell>
        </row>
        <row r="123">
          <cell r="A123">
            <v>102</v>
          </cell>
          <cell r="B123">
            <v>51</v>
          </cell>
          <cell r="C123">
            <v>25.5</v>
          </cell>
          <cell r="D123">
            <v>8.5</v>
          </cell>
          <cell r="E123">
            <v>1342251.7237456248</v>
          </cell>
        </row>
        <row r="124">
          <cell r="A124">
            <v>103</v>
          </cell>
          <cell r="B124">
            <v>51.5</v>
          </cell>
          <cell r="C124">
            <v>25.75</v>
          </cell>
          <cell r="D124">
            <v>8.5833333333333339</v>
          </cell>
          <cell r="E124">
            <v>1266309.0386758207</v>
          </cell>
        </row>
        <row r="125">
          <cell r="A125">
            <v>104</v>
          </cell>
          <cell r="B125">
            <v>52</v>
          </cell>
          <cell r="C125">
            <v>26</v>
          </cell>
          <cell r="D125">
            <v>8.6666666666666661</v>
          </cell>
          <cell r="E125">
            <v>1190529.4293644363</v>
          </cell>
        </row>
        <row r="126">
          <cell r="A126">
            <v>105</v>
          </cell>
          <cell r="B126">
            <v>52.5</v>
          </cell>
          <cell r="C126">
            <v>26.25</v>
          </cell>
          <cell r="D126">
            <v>8.75</v>
          </cell>
          <cell r="E126">
            <v>1114912.6072514132</v>
          </cell>
        </row>
        <row r="127">
          <cell r="A127">
            <v>106</v>
          </cell>
          <cell r="B127">
            <v>53</v>
          </cell>
          <cell r="C127">
            <v>26.5</v>
          </cell>
          <cell r="D127">
            <v>8.8333333333333339</v>
          </cell>
          <cell r="E127">
            <v>1039458.2842630909</v>
          </cell>
        </row>
        <row r="128">
          <cell r="A128">
            <v>107</v>
          </cell>
          <cell r="B128">
            <v>53.5</v>
          </cell>
          <cell r="C128">
            <v>26.75</v>
          </cell>
          <cell r="D128">
            <v>8.9166666666666661</v>
          </cell>
          <cell r="E128">
            <v>964166.17281140108</v>
          </cell>
        </row>
        <row r="129">
          <cell r="A129">
            <v>108</v>
          </cell>
          <cell r="B129">
            <v>54</v>
          </cell>
          <cell r="C129">
            <v>27</v>
          </cell>
          <cell r="D129">
            <v>9</v>
          </cell>
          <cell r="E129">
            <v>889035.98579305888</v>
          </cell>
        </row>
        <row r="130">
          <cell r="A130">
            <v>109</v>
          </cell>
          <cell r="B130">
            <v>54.5</v>
          </cell>
          <cell r="C130">
            <v>27.25</v>
          </cell>
          <cell r="D130">
            <v>9.0833333333333339</v>
          </cell>
          <cell r="E130">
            <v>814067.43658875767</v>
          </cell>
        </row>
        <row r="131">
          <cell r="A131">
            <v>110</v>
          </cell>
          <cell r="B131">
            <v>55</v>
          </cell>
          <cell r="C131">
            <v>27.5</v>
          </cell>
          <cell r="D131">
            <v>9.1666666666666661</v>
          </cell>
          <cell r="E131">
            <v>739260.23906236491</v>
          </cell>
        </row>
        <row r="132">
          <cell r="A132">
            <v>111</v>
          </cell>
          <cell r="B132">
            <v>55.5</v>
          </cell>
          <cell r="C132">
            <v>27.75</v>
          </cell>
          <cell r="D132">
            <v>9.25</v>
          </cell>
          <cell r="E132">
            <v>664614.10756011913</v>
          </cell>
        </row>
        <row r="133">
          <cell r="A133">
            <v>112</v>
          </cell>
          <cell r="B133">
            <v>56</v>
          </cell>
          <cell r="C133">
            <v>28</v>
          </cell>
          <cell r="D133">
            <v>9.3333333333333339</v>
          </cell>
          <cell r="E133">
            <v>590128.75690982805</v>
          </cell>
        </row>
        <row r="134">
          <cell r="A134">
            <v>113</v>
          </cell>
          <cell r="B134">
            <v>56.5</v>
          </cell>
          <cell r="C134">
            <v>28.25</v>
          </cell>
          <cell r="D134">
            <v>9.4166666666666661</v>
          </cell>
          <cell r="E134">
            <v>515803.90242006822</v>
          </cell>
        </row>
        <row r="135">
          <cell r="A135">
            <v>114</v>
          </cell>
          <cell r="B135">
            <v>57</v>
          </cell>
          <cell r="C135">
            <v>28.5</v>
          </cell>
          <cell r="D135">
            <v>9.5</v>
          </cell>
          <cell r="E135">
            <v>441639.25987938623</v>
          </cell>
        </row>
        <row r="136">
          <cell r="A136">
            <v>115</v>
          </cell>
          <cell r="B136">
            <v>57.5</v>
          </cell>
          <cell r="C136">
            <v>28.75</v>
          </cell>
          <cell r="D136">
            <v>9.5833333333333339</v>
          </cell>
          <cell r="E136">
            <v>367634.54555550084</v>
          </cell>
        </row>
        <row r="137">
          <cell r="A137">
            <v>116</v>
          </cell>
          <cell r="B137">
            <v>58</v>
          </cell>
          <cell r="C137">
            <v>29</v>
          </cell>
          <cell r="D137">
            <v>9.6666666666666661</v>
          </cell>
          <cell r="E137">
            <v>293789.47619450663</v>
          </cell>
        </row>
        <row r="138">
          <cell r="A138">
            <v>117</v>
          </cell>
          <cell r="B138">
            <v>58.5</v>
          </cell>
          <cell r="C138">
            <v>29.25</v>
          </cell>
          <cell r="D138">
            <v>9.75</v>
          </cell>
          <cell r="E138">
            <v>220103.76902007894</v>
          </cell>
        </row>
        <row r="139">
          <cell r="A139">
            <v>118</v>
          </cell>
          <cell r="B139">
            <v>59</v>
          </cell>
          <cell r="C139">
            <v>29.5</v>
          </cell>
          <cell r="D139">
            <v>9.8333333333333339</v>
          </cell>
          <cell r="E139">
            <v>146577.14173268009</v>
          </cell>
        </row>
        <row r="140">
          <cell r="A140">
            <v>119</v>
          </cell>
          <cell r="B140">
            <v>59.5</v>
          </cell>
          <cell r="C140">
            <v>29.75</v>
          </cell>
          <cell r="D140">
            <v>9.9166666666666661</v>
          </cell>
          <cell r="E140">
            <v>73209.312508766991</v>
          </cell>
        </row>
        <row r="141">
          <cell r="A141">
            <v>120</v>
          </cell>
          <cell r="B141">
            <v>60</v>
          </cell>
          <cell r="C141">
            <v>30</v>
          </cell>
          <cell r="D141">
            <v>10</v>
          </cell>
          <cell r="E141">
            <v>0</v>
          </cell>
        </row>
        <row r="142">
          <cell r="A142">
            <v>121</v>
          </cell>
          <cell r="B142">
            <v>60.5</v>
          </cell>
          <cell r="C142">
            <v>30.25</v>
          </cell>
          <cell r="D142">
            <v>10.083333333333334</v>
          </cell>
          <cell r="E142">
            <v>0</v>
          </cell>
        </row>
        <row r="143">
          <cell r="A143">
            <v>122</v>
          </cell>
          <cell r="B143">
            <v>61</v>
          </cell>
          <cell r="C143">
            <v>30.5</v>
          </cell>
          <cell r="D143">
            <v>10.166666666666666</v>
          </cell>
          <cell r="E143">
            <v>0</v>
          </cell>
        </row>
        <row r="144">
          <cell r="A144">
            <v>123</v>
          </cell>
          <cell r="B144">
            <v>61.5</v>
          </cell>
          <cell r="C144">
            <v>30.75</v>
          </cell>
          <cell r="D144">
            <v>10.25</v>
          </cell>
          <cell r="E144">
            <v>0</v>
          </cell>
        </row>
        <row r="145">
          <cell r="A145">
            <v>124</v>
          </cell>
          <cell r="B145">
            <v>62</v>
          </cell>
          <cell r="C145">
            <v>31</v>
          </cell>
          <cell r="D145">
            <v>10.333333333333334</v>
          </cell>
          <cell r="E145">
            <v>0</v>
          </cell>
        </row>
        <row r="146">
          <cell r="A146">
            <v>125</v>
          </cell>
          <cell r="B146">
            <v>62.5</v>
          </cell>
          <cell r="C146">
            <v>31.25</v>
          </cell>
          <cell r="D146">
            <v>10.416666666666666</v>
          </cell>
          <cell r="E146">
            <v>0</v>
          </cell>
        </row>
        <row r="147">
          <cell r="A147">
            <v>126</v>
          </cell>
          <cell r="B147">
            <v>63</v>
          </cell>
          <cell r="C147">
            <v>31.5</v>
          </cell>
          <cell r="D147">
            <v>10.5</v>
          </cell>
          <cell r="E147">
            <v>0</v>
          </cell>
        </row>
        <row r="148">
          <cell r="A148">
            <v>127</v>
          </cell>
          <cell r="B148">
            <v>63.5</v>
          </cell>
          <cell r="C148">
            <v>31.75</v>
          </cell>
          <cell r="D148">
            <v>10.583333333333334</v>
          </cell>
          <cell r="E148">
            <v>0</v>
          </cell>
        </row>
        <row r="149">
          <cell r="A149">
            <v>128</v>
          </cell>
          <cell r="B149">
            <v>64</v>
          </cell>
          <cell r="C149">
            <v>32</v>
          </cell>
          <cell r="D149">
            <v>10.666666666666666</v>
          </cell>
          <cell r="E149">
            <v>0</v>
          </cell>
        </row>
        <row r="150">
          <cell r="A150">
            <v>129</v>
          </cell>
          <cell r="B150">
            <v>64.5</v>
          </cell>
          <cell r="C150">
            <v>32.25</v>
          </cell>
          <cell r="D150">
            <v>10.75</v>
          </cell>
          <cell r="E150">
            <v>0</v>
          </cell>
        </row>
        <row r="151">
          <cell r="A151">
            <v>130</v>
          </cell>
          <cell r="B151">
            <v>65</v>
          </cell>
          <cell r="C151">
            <v>32.5</v>
          </cell>
          <cell r="D151">
            <v>10.833333333333334</v>
          </cell>
          <cell r="E151">
            <v>0</v>
          </cell>
        </row>
        <row r="152">
          <cell r="A152">
            <v>131</v>
          </cell>
          <cell r="B152">
            <v>65.5</v>
          </cell>
          <cell r="C152">
            <v>32.75</v>
          </cell>
          <cell r="D152">
            <v>10.916666666666666</v>
          </cell>
          <cell r="E152">
            <v>0</v>
          </cell>
        </row>
        <row r="153">
          <cell r="A153">
            <v>132</v>
          </cell>
          <cell r="B153">
            <v>66</v>
          </cell>
          <cell r="C153">
            <v>33</v>
          </cell>
          <cell r="D153">
            <v>11</v>
          </cell>
          <cell r="E153">
            <v>0</v>
          </cell>
        </row>
        <row r="154">
          <cell r="A154">
            <v>133</v>
          </cell>
          <cell r="B154">
            <v>66.5</v>
          </cell>
          <cell r="C154">
            <v>33.25</v>
          </cell>
          <cell r="D154">
            <v>11.083333333333334</v>
          </cell>
          <cell r="E154">
            <v>0</v>
          </cell>
        </row>
        <row r="155">
          <cell r="A155">
            <v>134</v>
          </cell>
          <cell r="B155">
            <v>67</v>
          </cell>
          <cell r="C155">
            <v>33.5</v>
          </cell>
          <cell r="D155">
            <v>11.166666666666666</v>
          </cell>
          <cell r="E155">
            <v>0</v>
          </cell>
        </row>
        <row r="156">
          <cell r="A156">
            <v>135</v>
          </cell>
          <cell r="B156">
            <v>67.5</v>
          </cell>
          <cell r="C156">
            <v>33.75</v>
          </cell>
          <cell r="D156">
            <v>11.25</v>
          </cell>
          <cell r="E156">
            <v>0</v>
          </cell>
        </row>
        <row r="157">
          <cell r="A157">
            <v>136</v>
          </cell>
          <cell r="B157">
            <v>68</v>
          </cell>
          <cell r="C157">
            <v>34</v>
          </cell>
          <cell r="D157">
            <v>11.333333333333334</v>
          </cell>
          <cell r="E157">
            <v>0</v>
          </cell>
        </row>
        <row r="158">
          <cell r="A158">
            <v>137</v>
          </cell>
          <cell r="B158">
            <v>68.5</v>
          </cell>
          <cell r="C158">
            <v>34.25</v>
          </cell>
          <cell r="D158">
            <v>11.416666666666666</v>
          </cell>
          <cell r="E158">
            <v>0</v>
          </cell>
        </row>
        <row r="159">
          <cell r="A159">
            <v>138</v>
          </cell>
          <cell r="B159">
            <v>69</v>
          </cell>
          <cell r="C159">
            <v>34.5</v>
          </cell>
          <cell r="D159">
            <v>11.5</v>
          </cell>
          <cell r="E159">
            <v>0</v>
          </cell>
        </row>
        <row r="160">
          <cell r="A160">
            <v>139</v>
          </cell>
          <cell r="B160">
            <v>69.5</v>
          </cell>
          <cell r="C160">
            <v>34.75</v>
          </cell>
          <cell r="D160">
            <v>11.583333333333334</v>
          </cell>
          <cell r="E160">
            <v>0</v>
          </cell>
        </row>
        <row r="161">
          <cell r="A161">
            <v>140</v>
          </cell>
          <cell r="B161">
            <v>70</v>
          </cell>
          <cell r="C161">
            <v>35</v>
          </cell>
          <cell r="D161">
            <v>11.666666666666666</v>
          </cell>
          <cell r="E161">
            <v>0</v>
          </cell>
        </row>
        <row r="162">
          <cell r="A162">
            <v>141</v>
          </cell>
          <cell r="B162">
            <v>70.5</v>
          </cell>
          <cell r="C162">
            <v>35.25</v>
          </cell>
          <cell r="D162">
            <v>11.75</v>
          </cell>
          <cell r="E162">
            <v>0</v>
          </cell>
        </row>
        <row r="163">
          <cell r="A163">
            <v>142</v>
          </cell>
          <cell r="B163">
            <v>71</v>
          </cell>
          <cell r="C163">
            <v>35.5</v>
          </cell>
          <cell r="D163">
            <v>11.833333333333334</v>
          </cell>
          <cell r="E163">
            <v>0</v>
          </cell>
        </row>
        <row r="164">
          <cell r="A164">
            <v>143</v>
          </cell>
          <cell r="B164">
            <v>71.5</v>
          </cell>
          <cell r="C164">
            <v>35.75</v>
          </cell>
          <cell r="D164">
            <v>11.916666666666666</v>
          </cell>
          <cell r="E164">
            <v>0</v>
          </cell>
        </row>
        <row r="165">
          <cell r="A165">
            <v>144</v>
          </cell>
          <cell r="B165">
            <v>72</v>
          </cell>
          <cell r="C165">
            <v>36</v>
          </cell>
          <cell r="D165">
            <v>12</v>
          </cell>
          <cell r="E165">
            <v>0</v>
          </cell>
        </row>
        <row r="166">
          <cell r="A166">
            <v>145</v>
          </cell>
          <cell r="B166">
            <v>72.5</v>
          </cell>
          <cell r="C166">
            <v>36.25</v>
          </cell>
          <cell r="D166">
            <v>12.083333333333334</v>
          </cell>
          <cell r="E166">
            <v>0</v>
          </cell>
        </row>
        <row r="167">
          <cell r="A167">
            <v>146</v>
          </cell>
          <cell r="B167">
            <v>73</v>
          </cell>
          <cell r="C167">
            <v>36.5</v>
          </cell>
          <cell r="D167">
            <v>12.166666666666666</v>
          </cell>
          <cell r="E167">
            <v>0</v>
          </cell>
        </row>
        <row r="168">
          <cell r="A168">
            <v>147</v>
          </cell>
          <cell r="B168">
            <v>73.5</v>
          </cell>
          <cell r="C168">
            <v>36.75</v>
          </cell>
          <cell r="D168">
            <v>12.25</v>
          </cell>
          <cell r="E168">
            <v>0</v>
          </cell>
        </row>
        <row r="169">
          <cell r="A169">
            <v>148</v>
          </cell>
          <cell r="B169">
            <v>74</v>
          </cell>
          <cell r="C169">
            <v>37</v>
          </cell>
          <cell r="D169">
            <v>12.333333333333334</v>
          </cell>
          <cell r="E169">
            <v>0</v>
          </cell>
        </row>
        <row r="170">
          <cell r="A170">
            <v>149</v>
          </cell>
          <cell r="B170">
            <v>74.5</v>
          </cell>
          <cell r="C170">
            <v>37.25</v>
          </cell>
          <cell r="D170">
            <v>12.416666666666666</v>
          </cell>
          <cell r="E170">
            <v>0</v>
          </cell>
        </row>
        <row r="171">
          <cell r="A171">
            <v>150</v>
          </cell>
          <cell r="B171">
            <v>75</v>
          </cell>
          <cell r="C171">
            <v>37.5</v>
          </cell>
          <cell r="D171">
            <v>12.5</v>
          </cell>
          <cell r="E171">
            <v>0</v>
          </cell>
        </row>
        <row r="172">
          <cell r="A172">
            <v>151</v>
          </cell>
          <cell r="B172">
            <v>75.5</v>
          </cell>
          <cell r="C172">
            <v>37.75</v>
          </cell>
          <cell r="D172">
            <v>12.583333333333334</v>
          </cell>
          <cell r="E172">
            <v>0</v>
          </cell>
        </row>
        <row r="173">
          <cell r="A173">
            <v>152</v>
          </cell>
          <cell r="B173">
            <v>76</v>
          </cell>
          <cell r="C173">
            <v>38</v>
          </cell>
          <cell r="D173">
            <v>12.666666666666666</v>
          </cell>
          <cell r="E173">
            <v>0</v>
          </cell>
        </row>
        <row r="174">
          <cell r="A174">
            <v>153</v>
          </cell>
          <cell r="B174">
            <v>76.5</v>
          </cell>
          <cell r="C174">
            <v>38.25</v>
          </cell>
          <cell r="D174">
            <v>12.75</v>
          </cell>
          <cell r="E174">
            <v>0</v>
          </cell>
        </row>
        <row r="175">
          <cell r="A175">
            <v>154</v>
          </cell>
          <cell r="B175">
            <v>77</v>
          </cell>
          <cell r="C175">
            <v>38.5</v>
          </cell>
          <cell r="D175">
            <v>12.833333333333334</v>
          </cell>
          <cell r="E175">
            <v>0</v>
          </cell>
        </row>
        <row r="176">
          <cell r="A176">
            <v>155</v>
          </cell>
          <cell r="B176">
            <v>77.5</v>
          </cell>
          <cell r="C176">
            <v>38.75</v>
          </cell>
          <cell r="D176">
            <v>12.916666666666666</v>
          </cell>
          <cell r="E176">
            <v>0</v>
          </cell>
        </row>
        <row r="177">
          <cell r="A177">
            <v>156</v>
          </cell>
          <cell r="B177">
            <v>78</v>
          </cell>
          <cell r="C177">
            <v>39</v>
          </cell>
          <cell r="D177">
            <v>13</v>
          </cell>
          <cell r="E177">
            <v>0</v>
          </cell>
        </row>
        <row r="178">
          <cell r="A178">
            <v>157</v>
          </cell>
          <cell r="B178">
            <v>78.5</v>
          </cell>
          <cell r="C178">
            <v>39.25</v>
          </cell>
          <cell r="D178">
            <v>13.083333333333334</v>
          </cell>
          <cell r="E178">
            <v>0</v>
          </cell>
        </row>
        <row r="179">
          <cell r="A179">
            <v>158</v>
          </cell>
          <cell r="B179">
            <v>79</v>
          </cell>
          <cell r="C179">
            <v>39.5</v>
          </cell>
          <cell r="D179">
            <v>13.166666666666666</v>
          </cell>
          <cell r="E179">
            <v>0</v>
          </cell>
        </row>
        <row r="180">
          <cell r="A180">
            <v>159</v>
          </cell>
          <cell r="B180">
            <v>79.5</v>
          </cell>
          <cell r="C180">
            <v>39.75</v>
          </cell>
          <cell r="D180">
            <v>13.25</v>
          </cell>
          <cell r="E180">
            <v>0</v>
          </cell>
        </row>
        <row r="181">
          <cell r="A181">
            <v>160</v>
          </cell>
          <cell r="B181">
            <v>80</v>
          </cell>
          <cell r="C181">
            <v>40</v>
          </cell>
          <cell r="D181">
            <v>13.333333333333334</v>
          </cell>
          <cell r="E181">
            <v>0</v>
          </cell>
        </row>
        <row r="182">
          <cell r="A182">
            <v>161</v>
          </cell>
          <cell r="B182">
            <v>80.5</v>
          </cell>
          <cell r="C182">
            <v>40.25</v>
          </cell>
          <cell r="D182">
            <v>13.416666666666666</v>
          </cell>
          <cell r="E182">
            <v>0</v>
          </cell>
        </row>
        <row r="183">
          <cell r="A183">
            <v>162</v>
          </cell>
          <cell r="B183">
            <v>81</v>
          </cell>
          <cell r="C183">
            <v>40.5</v>
          </cell>
          <cell r="D183">
            <v>13.5</v>
          </cell>
          <cell r="E183">
            <v>0</v>
          </cell>
        </row>
        <row r="184">
          <cell r="A184">
            <v>163</v>
          </cell>
          <cell r="B184">
            <v>81.5</v>
          </cell>
          <cell r="C184">
            <v>40.75</v>
          </cell>
          <cell r="D184">
            <v>13.583333333333334</v>
          </cell>
          <cell r="E184">
            <v>0</v>
          </cell>
        </row>
        <row r="185">
          <cell r="A185">
            <v>164</v>
          </cell>
          <cell r="B185">
            <v>82</v>
          </cell>
          <cell r="C185">
            <v>41</v>
          </cell>
          <cell r="D185">
            <v>13.666666666666666</v>
          </cell>
          <cell r="E185">
            <v>0</v>
          </cell>
        </row>
        <row r="186">
          <cell r="A186">
            <v>165</v>
          </cell>
          <cell r="B186">
            <v>82.5</v>
          </cell>
          <cell r="C186">
            <v>41.25</v>
          </cell>
          <cell r="D186">
            <v>13.75</v>
          </cell>
          <cell r="E186">
            <v>0</v>
          </cell>
        </row>
        <row r="187">
          <cell r="A187">
            <v>166</v>
          </cell>
          <cell r="B187">
            <v>83</v>
          </cell>
          <cell r="C187">
            <v>41.5</v>
          </cell>
          <cell r="D187">
            <v>13.833333333333334</v>
          </cell>
          <cell r="E187">
            <v>0</v>
          </cell>
        </row>
        <row r="188">
          <cell r="A188">
            <v>167</v>
          </cell>
          <cell r="B188">
            <v>83.5</v>
          </cell>
          <cell r="C188">
            <v>41.75</v>
          </cell>
          <cell r="D188">
            <v>13.916666666666666</v>
          </cell>
          <cell r="E188">
            <v>0</v>
          </cell>
        </row>
        <row r="189">
          <cell r="A189">
            <v>168</v>
          </cell>
          <cell r="B189">
            <v>84</v>
          </cell>
          <cell r="C189">
            <v>42</v>
          </cell>
          <cell r="D189">
            <v>14</v>
          </cell>
          <cell r="E189">
            <v>0</v>
          </cell>
        </row>
        <row r="190">
          <cell r="A190">
            <v>169</v>
          </cell>
          <cell r="B190">
            <v>84.5</v>
          </cell>
          <cell r="C190">
            <v>42.25</v>
          </cell>
          <cell r="D190">
            <v>14.083333333333334</v>
          </cell>
          <cell r="E190">
            <v>0</v>
          </cell>
        </row>
        <row r="191">
          <cell r="A191">
            <v>170</v>
          </cell>
          <cell r="B191">
            <v>85</v>
          </cell>
          <cell r="C191">
            <v>42.5</v>
          </cell>
          <cell r="D191">
            <v>14.166666666666666</v>
          </cell>
          <cell r="E191">
            <v>0</v>
          </cell>
        </row>
        <row r="192">
          <cell r="A192">
            <v>171</v>
          </cell>
          <cell r="B192">
            <v>85.5</v>
          </cell>
          <cell r="C192">
            <v>42.75</v>
          </cell>
          <cell r="D192">
            <v>14.25</v>
          </cell>
          <cell r="E192">
            <v>0</v>
          </cell>
        </row>
        <row r="193">
          <cell r="A193">
            <v>172</v>
          </cell>
          <cell r="B193">
            <v>86</v>
          </cell>
          <cell r="C193">
            <v>43</v>
          </cell>
          <cell r="D193">
            <v>14.333333333333334</v>
          </cell>
          <cell r="E193">
            <v>0</v>
          </cell>
        </row>
        <row r="194">
          <cell r="A194">
            <v>173</v>
          </cell>
          <cell r="B194">
            <v>86.5</v>
          </cell>
          <cell r="C194">
            <v>43.25</v>
          </cell>
          <cell r="D194">
            <v>14.416666666666666</v>
          </cell>
          <cell r="E194">
            <v>0</v>
          </cell>
        </row>
        <row r="195">
          <cell r="A195">
            <v>174</v>
          </cell>
          <cell r="B195">
            <v>87</v>
          </cell>
          <cell r="C195">
            <v>43.5</v>
          </cell>
          <cell r="D195">
            <v>14.5</v>
          </cell>
          <cell r="E195">
            <v>0</v>
          </cell>
        </row>
        <row r="196">
          <cell r="A196">
            <v>175</v>
          </cell>
          <cell r="B196">
            <v>87.5</v>
          </cell>
          <cell r="C196">
            <v>43.75</v>
          </cell>
          <cell r="D196">
            <v>14.583333333333334</v>
          </cell>
          <cell r="E196">
            <v>0</v>
          </cell>
        </row>
        <row r="197">
          <cell r="A197">
            <v>176</v>
          </cell>
          <cell r="B197">
            <v>88</v>
          </cell>
          <cell r="C197">
            <v>44</v>
          </cell>
          <cell r="D197">
            <v>14.666666666666666</v>
          </cell>
          <cell r="E197">
            <v>0</v>
          </cell>
        </row>
        <row r="198">
          <cell r="A198">
            <v>177</v>
          </cell>
          <cell r="B198">
            <v>88.5</v>
          </cell>
          <cell r="C198">
            <v>44.25</v>
          </cell>
          <cell r="D198">
            <v>14.75</v>
          </cell>
          <cell r="E198">
            <v>0</v>
          </cell>
        </row>
        <row r="199">
          <cell r="A199">
            <v>178</v>
          </cell>
          <cell r="B199">
            <v>89</v>
          </cell>
          <cell r="C199">
            <v>44.5</v>
          </cell>
          <cell r="D199">
            <v>14.833333333333334</v>
          </cell>
          <cell r="E199">
            <v>0</v>
          </cell>
        </row>
        <row r="200">
          <cell r="A200">
            <v>179</v>
          </cell>
          <cell r="B200">
            <v>89.5</v>
          </cell>
          <cell r="C200">
            <v>44.75</v>
          </cell>
          <cell r="D200">
            <v>14.916666666666666</v>
          </cell>
          <cell r="E200">
            <v>0</v>
          </cell>
        </row>
        <row r="201">
          <cell r="A201">
            <v>180</v>
          </cell>
          <cell r="B201">
            <v>90</v>
          </cell>
          <cell r="C201">
            <v>45</v>
          </cell>
          <cell r="D201">
            <v>15</v>
          </cell>
          <cell r="E201">
            <v>0</v>
          </cell>
        </row>
        <row r="202">
          <cell r="A202">
            <v>181</v>
          </cell>
          <cell r="B202">
            <v>90.5</v>
          </cell>
          <cell r="C202">
            <v>45.25</v>
          </cell>
          <cell r="D202">
            <v>15.083333333333334</v>
          </cell>
          <cell r="E202">
            <v>0</v>
          </cell>
        </row>
        <row r="203">
          <cell r="A203">
            <v>182</v>
          </cell>
          <cell r="B203">
            <v>91</v>
          </cell>
          <cell r="C203">
            <v>45.5</v>
          </cell>
          <cell r="D203">
            <v>15.166666666666666</v>
          </cell>
          <cell r="E203">
            <v>0</v>
          </cell>
        </row>
        <row r="204">
          <cell r="A204">
            <v>183</v>
          </cell>
          <cell r="B204">
            <v>91.5</v>
          </cell>
          <cell r="C204">
            <v>45.75</v>
          </cell>
          <cell r="D204">
            <v>15.25</v>
          </cell>
          <cell r="E204">
            <v>0</v>
          </cell>
        </row>
        <row r="205">
          <cell r="A205">
            <v>184</v>
          </cell>
          <cell r="B205">
            <v>92</v>
          </cell>
          <cell r="C205">
            <v>46</v>
          </cell>
          <cell r="D205">
            <v>15.333333333333334</v>
          </cell>
          <cell r="E205">
            <v>0</v>
          </cell>
        </row>
        <row r="206">
          <cell r="A206">
            <v>185</v>
          </cell>
          <cell r="B206">
            <v>92.5</v>
          </cell>
          <cell r="C206">
            <v>46.25</v>
          </cell>
          <cell r="D206">
            <v>15.416666666666666</v>
          </cell>
          <cell r="E206">
            <v>0</v>
          </cell>
        </row>
        <row r="207">
          <cell r="A207">
            <v>186</v>
          </cell>
          <cell r="B207">
            <v>93</v>
          </cell>
          <cell r="C207">
            <v>46.5</v>
          </cell>
          <cell r="D207">
            <v>15.5</v>
          </cell>
          <cell r="E207">
            <v>0</v>
          </cell>
        </row>
        <row r="208">
          <cell r="A208">
            <v>187</v>
          </cell>
          <cell r="B208">
            <v>93.5</v>
          </cell>
          <cell r="C208">
            <v>46.75</v>
          </cell>
          <cell r="D208">
            <v>15.583333333333334</v>
          </cell>
          <cell r="E208">
            <v>0</v>
          </cell>
        </row>
        <row r="209">
          <cell r="A209">
            <v>188</v>
          </cell>
          <cell r="B209">
            <v>94</v>
          </cell>
          <cell r="C209">
            <v>47</v>
          </cell>
          <cell r="D209">
            <v>15.666666666666666</v>
          </cell>
          <cell r="E209">
            <v>0</v>
          </cell>
        </row>
        <row r="210">
          <cell r="A210">
            <v>189</v>
          </cell>
          <cell r="B210">
            <v>94.5</v>
          </cell>
          <cell r="C210">
            <v>47.25</v>
          </cell>
          <cell r="D210">
            <v>15.75</v>
          </cell>
          <cell r="E210">
            <v>0</v>
          </cell>
        </row>
        <row r="211">
          <cell r="A211">
            <v>190</v>
          </cell>
          <cell r="B211">
            <v>95</v>
          </cell>
          <cell r="C211">
            <v>47.5</v>
          </cell>
          <cell r="D211">
            <v>15.833333333333334</v>
          </cell>
          <cell r="E211">
            <v>0</v>
          </cell>
        </row>
        <row r="212">
          <cell r="A212">
            <v>191</v>
          </cell>
          <cell r="B212">
            <v>95.5</v>
          </cell>
          <cell r="C212">
            <v>47.75</v>
          </cell>
          <cell r="D212">
            <v>15.916666666666666</v>
          </cell>
          <cell r="E212">
            <v>0</v>
          </cell>
        </row>
        <row r="213">
          <cell r="A213">
            <v>192</v>
          </cell>
          <cell r="B213">
            <v>96</v>
          </cell>
          <cell r="C213">
            <v>48</v>
          </cell>
          <cell r="D213">
            <v>16</v>
          </cell>
          <cell r="E213">
            <v>0</v>
          </cell>
        </row>
        <row r="214">
          <cell r="A214">
            <v>193</v>
          </cell>
          <cell r="B214">
            <v>96.5</v>
          </cell>
          <cell r="C214">
            <v>48.25</v>
          </cell>
          <cell r="D214">
            <v>16.083333333333332</v>
          </cell>
          <cell r="E214">
            <v>0</v>
          </cell>
        </row>
        <row r="215">
          <cell r="A215">
            <v>194</v>
          </cell>
          <cell r="B215">
            <v>97</v>
          </cell>
          <cell r="C215">
            <v>48.5</v>
          </cell>
          <cell r="D215">
            <v>16.166666666666668</v>
          </cell>
          <cell r="E215">
            <v>0</v>
          </cell>
        </row>
        <row r="216">
          <cell r="A216">
            <v>195</v>
          </cell>
          <cell r="B216">
            <v>97.5</v>
          </cell>
          <cell r="C216">
            <v>48.75</v>
          </cell>
          <cell r="D216">
            <v>16.25</v>
          </cell>
          <cell r="E216">
            <v>0</v>
          </cell>
        </row>
        <row r="217">
          <cell r="A217">
            <v>196</v>
          </cell>
          <cell r="B217">
            <v>98</v>
          </cell>
          <cell r="C217">
            <v>49</v>
          </cell>
          <cell r="D217">
            <v>16.333333333333332</v>
          </cell>
          <cell r="E217">
            <v>0</v>
          </cell>
        </row>
        <row r="218">
          <cell r="A218">
            <v>197</v>
          </cell>
          <cell r="B218">
            <v>98.5</v>
          </cell>
          <cell r="C218">
            <v>49.25</v>
          </cell>
          <cell r="D218">
            <v>16.416666666666668</v>
          </cell>
          <cell r="E218">
            <v>0</v>
          </cell>
        </row>
        <row r="219">
          <cell r="A219">
            <v>198</v>
          </cell>
          <cell r="B219">
            <v>99</v>
          </cell>
          <cell r="C219">
            <v>49.5</v>
          </cell>
          <cell r="D219">
            <v>16.5</v>
          </cell>
          <cell r="E219">
            <v>0</v>
          </cell>
        </row>
        <row r="220">
          <cell r="A220">
            <v>199</v>
          </cell>
          <cell r="B220">
            <v>99.5</v>
          </cell>
          <cell r="C220">
            <v>49.75</v>
          </cell>
          <cell r="D220">
            <v>16.583333333333332</v>
          </cell>
          <cell r="E220">
            <v>0</v>
          </cell>
        </row>
        <row r="221">
          <cell r="A221">
            <v>200</v>
          </cell>
          <cell r="B221">
            <v>100</v>
          </cell>
          <cell r="C221">
            <v>50</v>
          </cell>
          <cell r="D221">
            <v>16.666666666666668</v>
          </cell>
          <cell r="E221">
            <v>0</v>
          </cell>
        </row>
        <row r="222">
          <cell r="A222">
            <v>201</v>
          </cell>
          <cell r="B222">
            <v>100.5</v>
          </cell>
          <cell r="C222">
            <v>50.25</v>
          </cell>
          <cell r="D222">
            <v>16.75</v>
          </cell>
          <cell r="E222">
            <v>0</v>
          </cell>
        </row>
        <row r="223">
          <cell r="A223">
            <v>202</v>
          </cell>
          <cell r="B223">
            <v>101</v>
          </cell>
          <cell r="C223">
            <v>50.5</v>
          </cell>
          <cell r="D223">
            <v>16.833333333333332</v>
          </cell>
          <cell r="E223">
            <v>0</v>
          </cell>
        </row>
        <row r="224">
          <cell r="A224">
            <v>203</v>
          </cell>
          <cell r="B224">
            <v>101.5</v>
          </cell>
          <cell r="C224">
            <v>50.75</v>
          </cell>
          <cell r="D224">
            <v>16.916666666666668</v>
          </cell>
          <cell r="E224">
            <v>0</v>
          </cell>
        </row>
        <row r="225">
          <cell r="A225">
            <v>204</v>
          </cell>
          <cell r="B225">
            <v>102</v>
          </cell>
          <cell r="C225">
            <v>51</v>
          </cell>
          <cell r="D225">
            <v>17</v>
          </cell>
          <cell r="E225">
            <v>0</v>
          </cell>
        </row>
        <row r="226">
          <cell r="A226">
            <v>205</v>
          </cell>
          <cell r="B226">
            <v>102.5</v>
          </cell>
          <cell r="C226">
            <v>51.25</v>
          </cell>
          <cell r="D226">
            <v>17.083333333333332</v>
          </cell>
          <cell r="E226">
            <v>0</v>
          </cell>
        </row>
        <row r="227">
          <cell r="A227">
            <v>206</v>
          </cell>
          <cell r="B227">
            <v>103</v>
          </cell>
          <cell r="C227">
            <v>51.5</v>
          </cell>
          <cell r="D227">
            <v>17.166666666666668</v>
          </cell>
          <cell r="E227">
            <v>0</v>
          </cell>
        </row>
        <row r="228">
          <cell r="A228">
            <v>207</v>
          </cell>
          <cell r="B228">
            <v>103.5</v>
          </cell>
          <cell r="C228">
            <v>51.75</v>
          </cell>
          <cell r="D228">
            <v>17.25</v>
          </cell>
          <cell r="E228">
            <v>0</v>
          </cell>
        </row>
        <row r="229">
          <cell r="A229">
            <v>208</v>
          </cell>
          <cell r="B229">
            <v>104</v>
          </cell>
          <cell r="C229">
            <v>52</v>
          </cell>
          <cell r="D229">
            <v>17.333333333333332</v>
          </cell>
          <cell r="E229">
            <v>0</v>
          </cell>
        </row>
        <row r="230">
          <cell r="A230">
            <v>209</v>
          </cell>
          <cell r="B230">
            <v>104.5</v>
          </cell>
          <cell r="C230">
            <v>52.25</v>
          </cell>
          <cell r="D230">
            <v>17.416666666666668</v>
          </cell>
          <cell r="E230">
            <v>0</v>
          </cell>
        </row>
        <row r="231">
          <cell r="A231">
            <v>210</v>
          </cell>
          <cell r="B231">
            <v>105</v>
          </cell>
          <cell r="C231">
            <v>52.5</v>
          </cell>
          <cell r="D231">
            <v>17.5</v>
          </cell>
          <cell r="E231">
            <v>0</v>
          </cell>
        </row>
        <row r="232">
          <cell r="A232">
            <v>211</v>
          </cell>
          <cell r="B232">
            <v>105.5</v>
          </cell>
          <cell r="C232">
            <v>52.75</v>
          </cell>
          <cell r="D232">
            <v>17.583333333333332</v>
          </cell>
          <cell r="E232">
            <v>0</v>
          </cell>
        </row>
        <row r="233">
          <cell r="A233">
            <v>212</v>
          </cell>
          <cell r="B233">
            <v>106</v>
          </cell>
          <cell r="C233">
            <v>53</v>
          </cell>
          <cell r="D233">
            <v>17.666666666666668</v>
          </cell>
          <cell r="E233">
            <v>0</v>
          </cell>
        </row>
        <row r="234">
          <cell r="A234">
            <v>213</v>
          </cell>
          <cell r="B234">
            <v>106.5</v>
          </cell>
          <cell r="C234">
            <v>53.25</v>
          </cell>
          <cell r="D234">
            <v>17.75</v>
          </cell>
          <cell r="E234">
            <v>0</v>
          </cell>
        </row>
        <row r="235">
          <cell r="A235">
            <v>214</v>
          </cell>
          <cell r="B235">
            <v>107</v>
          </cell>
          <cell r="C235">
            <v>53.5</v>
          </cell>
          <cell r="D235">
            <v>17.833333333333332</v>
          </cell>
          <cell r="E235">
            <v>0</v>
          </cell>
        </row>
        <row r="236">
          <cell r="A236">
            <v>215</v>
          </cell>
          <cell r="B236">
            <v>107.5</v>
          </cell>
          <cell r="C236">
            <v>53.75</v>
          </cell>
          <cell r="D236">
            <v>17.916666666666668</v>
          </cell>
          <cell r="E236">
            <v>0</v>
          </cell>
        </row>
        <row r="237">
          <cell r="A237">
            <v>216</v>
          </cell>
          <cell r="B237">
            <v>108</v>
          </cell>
          <cell r="C237">
            <v>54</v>
          </cell>
          <cell r="D237">
            <v>18</v>
          </cell>
          <cell r="E237">
            <v>0</v>
          </cell>
        </row>
        <row r="238">
          <cell r="A238">
            <v>217</v>
          </cell>
          <cell r="B238">
            <v>108.5</v>
          </cell>
          <cell r="C238">
            <v>54.25</v>
          </cell>
          <cell r="D238">
            <v>18.083333333333332</v>
          </cell>
          <cell r="E238">
            <v>0</v>
          </cell>
        </row>
        <row r="239">
          <cell r="A239">
            <v>218</v>
          </cell>
          <cell r="B239">
            <v>109</v>
          </cell>
          <cell r="C239">
            <v>54.5</v>
          </cell>
          <cell r="D239">
            <v>18.166666666666668</v>
          </cell>
          <cell r="E239">
            <v>0</v>
          </cell>
        </row>
        <row r="240">
          <cell r="A240">
            <v>219</v>
          </cell>
          <cell r="B240">
            <v>109.5</v>
          </cell>
          <cell r="C240">
            <v>54.75</v>
          </cell>
          <cell r="D240">
            <v>18.25</v>
          </cell>
          <cell r="E240">
            <v>0</v>
          </cell>
        </row>
        <row r="241">
          <cell r="A241">
            <v>220</v>
          </cell>
          <cell r="B241">
            <v>110</v>
          </cell>
          <cell r="C241">
            <v>55</v>
          </cell>
          <cell r="D241">
            <v>18.333333333333332</v>
          </cell>
          <cell r="E241">
            <v>0</v>
          </cell>
        </row>
        <row r="242">
          <cell r="A242">
            <v>221</v>
          </cell>
          <cell r="B242">
            <v>110.5</v>
          </cell>
          <cell r="C242">
            <v>55.25</v>
          </cell>
          <cell r="D242">
            <v>18.416666666666668</v>
          </cell>
          <cell r="E242">
            <v>0</v>
          </cell>
        </row>
        <row r="243">
          <cell r="A243">
            <v>222</v>
          </cell>
          <cell r="B243">
            <v>111</v>
          </cell>
          <cell r="C243">
            <v>55.5</v>
          </cell>
          <cell r="D243">
            <v>18.5</v>
          </cell>
          <cell r="E243">
            <v>0</v>
          </cell>
        </row>
        <row r="244">
          <cell r="A244">
            <v>223</v>
          </cell>
          <cell r="B244">
            <v>111.5</v>
          </cell>
          <cell r="C244">
            <v>55.75</v>
          </cell>
          <cell r="D244">
            <v>18.583333333333332</v>
          </cell>
          <cell r="E244">
            <v>0</v>
          </cell>
        </row>
        <row r="245">
          <cell r="A245">
            <v>224</v>
          </cell>
          <cell r="B245">
            <v>112</v>
          </cell>
          <cell r="C245">
            <v>56</v>
          </cell>
          <cell r="D245">
            <v>18.666666666666668</v>
          </cell>
          <cell r="E245">
            <v>0</v>
          </cell>
        </row>
        <row r="246">
          <cell r="A246">
            <v>225</v>
          </cell>
          <cell r="B246">
            <v>112.5</v>
          </cell>
          <cell r="C246">
            <v>56.25</v>
          </cell>
          <cell r="D246">
            <v>18.75</v>
          </cell>
          <cell r="E246">
            <v>0</v>
          </cell>
        </row>
        <row r="247">
          <cell r="A247">
            <v>226</v>
          </cell>
          <cell r="B247">
            <v>113</v>
          </cell>
          <cell r="C247">
            <v>56.5</v>
          </cell>
          <cell r="D247">
            <v>18.833333333333332</v>
          </cell>
          <cell r="E247">
            <v>0</v>
          </cell>
        </row>
        <row r="248">
          <cell r="A248">
            <v>227</v>
          </cell>
          <cell r="B248">
            <v>113.5</v>
          </cell>
          <cell r="C248">
            <v>56.75</v>
          </cell>
          <cell r="D248">
            <v>18.916666666666668</v>
          </cell>
          <cell r="E248">
            <v>0</v>
          </cell>
        </row>
        <row r="249">
          <cell r="A249">
            <v>228</v>
          </cell>
          <cell r="B249">
            <v>114</v>
          </cell>
          <cell r="C249">
            <v>57</v>
          </cell>
          <cell r="D249">
            <v>19</v>
          </cell>
          <cell r="E249">
            <v>0</v>
          </cell>
        </row>
        <row r="250">
          <cell r="A250">
            <v>229</v>
          </cell>
          <cell r="B250">
            <v>114.5</v>
          </cell>
          <cell r="C250">
            <v>57.25</v>
          </cell>
          <cell r="D250">
            <v>19.083333333333332</v>
          </cell>
          <cell r="E250">
            <v>0</v>
          </cell>
        </row>
        <row r="251">
          <cell r="A251">
            <v>230</v>
          </cell>
          <cell r="B251">
            <v>115</v>
          </cell>
          <cell r="C251">
            <v>57.5</v>
          </cell>
          <cell r="D251">
            <v>19.166666666666668</v>
          </cell>
          <cell r="E251">
            <v>0</v>
          </cell>
        </row>
        <row r="252">
          <cell r="A252">
            <v>231</v>
          </cell>
          <cell r="B252">
            <v>115.5</v>
          </cell>
          <cell r="C252">
            <v>57.75</v>
          </cell>
          <cell r="D252">
            <v>19.25</v>
          </cell>
          <cell r="E252">
            <v>0</v>
          </cell>
        </row>
        <row r="253">
          <cell r="A253">
            <v>232</v>
          </cell>
          <cell r="B253">
            <v>116</v>
          </cell>
          <cell r="C253">
            <v>58</v>
          </cell>
          <cell r="D253">
            <v>19.333333333333332</v>
          </cell>
          <cell r="E253">
            <v>0</v>
          </cell>
        </row>
        <row r="254">
          <cell r="A254">
            <v>233</v>
          </cell>
          <cell r="B254">
            <v>116.5</v>
          </cell>
          <cell r="C254">
            <v>58.25</v>
          </cell>
          <cell r="D254">
            <v>19.416666666666668</v>
          </cell>
          <cell r="E254">
            <v>0</v>
          </cell>
        </row>
        <row r="255">
          <cell r="A255">
            <v>234</v>
          </cell>
          <cell r="B255">
            <v>117</v>
          </cell>
          <cell r="C255">
            <v>58.5</v>
          </cell>
          <cell r="D255">
            <v>19.5</v>
          </cell>
          <cell r="E255">
            <v>0</v>
          </cell>
        </row>
        <row r="256">
          <cell r="A256">
            <v>235</v>
          </cell>
          <cell r="B256">
            <v>117.5</v>
          </cell>
          <cell r="C256">
            <v>58.75</v>
          </cell>
          <cell r="D256">
            <v>19.583333333333332</v>
          </cell>
          <cell r="E256">
            <v>0</v>
          </cell>
        </row>
        <row r="257">
          <cell r="A257">
            <v>236</v>
          </cell>
          <cell r="B257">
            <v>118</v>
          </cell>
          <cell r="C257">
            <v>59</v>
          </cell>
          <cell r="D257">
            <v>19.666666666666668</v>
          </cell>
          <cell r="E257">
            <v>0</v>
          </cell>
        </row>
        <row r="258">
          <cell r="A258">
            <v>237</v>
          </cell>
          <cell r="B258">
            <v>118.5</v>
          </cell>
          <cell r="C258">
            <v>59.25</v>
          </cell>
          <cell r="D258">
            <v>19.75</v>
          </cell>
          <cell r="E258">
            <v>0</v>
          </cell>
        </row>
        <row r="259">
          <cell r="A259">
            <v>238</v>
          </cell>
          <cell r="B259">
            <v>119</v>
          </cell>
          <cell r="C259">
            <v>59.5</v>
          </cell>
          <cell r="D259">
            <v>19.833333333333332</v>
          </cell>
          <cell r="E259">
            <v>0</v>
          </cell>
        </row>
        <row r="260">
          <cell r="A260">
            <v>239</v>
          </cell>
          <cell r="B260">
            <v>119.5</v>
          </cell>
          <cell r="C260">
            <v>59.75</v>
          </cell>
          <cell r="D260">
            <v>19.916666666666668</v>
          </cell>
          <cell r="E260">
            <v>0</v>
          </cell>
        </row>
        <row r="261">
          <cell r="A261">
            <v>240</v>
          </cell>
          <cell r="B261">
            <v>120</v>
          </cell>
          <cell r="C261">
            <v>60</v>
          </cell>
          <cell r="D261">
            <v>20</v>
          </cell>
          <cell r="E261">
            <v>0</v>
          </cell>
        </row>
        <row r="262">
          <cell r="A262">
            <v>241</v>
          </cell>
          <cell r="B262">
            <v>120.5</v>
          </cell>
          <cell r="C262">
            <v>60.25</v>
          </cell>
          <cell r="D262">
            <v>20.083333333333332</v>
          </cell>
          <cell r="E262">
            <v>0</v>
          </cell>
        </row>
        <row r="263">
          <cell r="A263">
            <v>242</v>
          </cell>
          <cell r="B263">
            <v>121</v>
          </cell>
          <cell r="C263">
            <v>60.5</v>
          </cell>
          <cell r="D263">
            <v>20.166666666666668</v>
          </cell>
          <cell r="E263">
            <v>0</v>
          </cell>
        </row>
        <row r="264">
          <cell r="A264">
            <v>243</v>
          </cell>
          <cell r="B264">
            <v>121.5</v>
          </cell>
          <cell r="C264">
            <v>60.75</v>
          </cell>
          <cell r="D264">
            <v>20.25</v>
          </cell>
          <cell r="E264">
            <v>0</v>
          </cell>
        </row>
        <row r="265">
          <cell r="A265">
            <v>244</v>
          </cell>
          <cell r="B265">
            <v>122</v>
          </cell>
          <cell r="C265">
            <v>61</v>
          </cell>
          <cell r="D265">
            <v>20.333333333333332</v>
          </cell>
          <cell r="E265">
            <v>0</v>
          </cell>
        </row>
        <row r="266">
          <cell r="A266">
            <v>245</v>
          </cell>
          <cell r="B266">
            <v>122.5</v>
          </cell>
          <cell r="C266">
            <v>61.25</v>
          </cell>
          <cell r="D266">
            <v>20.416666666666668</v>
          </cell>
          <cell r="E266">
            <v>0</v>
          </cell>
        </row>
        <row r="267">
          <cell r="A267">
            <v>246</v>
          </cell>
          <cell r="B267">
            <v>123</v>
          </cell>
          <cell r="C267">
            <v>61.5</v>
          </cell>
          <cell r="D267">
            <v>20.5</v>
          </cell>
          <cell r="E267">
            <v>0</v>
          </cell>
        </row>
        <row r="268">
          <cell r="A268">
            <v>247</v>
          </cell>
          <cell r="B268">
            <v>123.5</v>
          </cell>
          <cell r="C268">
            <v>61.75</v>
          </cell>
          <cell r="D268">
            <v>20.583333333333332</v>
          </cell>
          <cell r="E268">
            <v>0</v>
          </cell>
        </row>
        <row r="269">
          <cell r="A269">
            <v>248</v>
          </cell>
          <cell r="B269">
            <v>124</v>
          </cell>
          <cell r="C269">
            <v>62</v>
          </cell>
          <cell r="D269">
            <v>20.666666666666668</v>
          </cell>
          <cell r="E269">
            <v>0</v>
          </cell>
        </row>
        <row r="270">
          <cell r="A270">
            <v>249</v>
          </cell>
          <cell r="B270">
            <v>124.5</v>
          </cell>
          <cell r="C270">
            <v>62.25</v>
          </cell>
          <cell r="D270">
            <v>20.75</v>
          </cell>
          <cell r="E270">
            <v>0</v>
          </cell>
        </row>
        <row r="271">
          <cell r="A271">
            <v>250</v>
          </cell>
          <cell r="B271">
            <v>125</v>
          </cell>
          <cell r="C271">
            <v>62.5</v>
          </cell>
          <cell r="D271">
            <v>20.833333333333332</v>
          </cell>
          <cell r="E271">
            <v>0</v>
          </cell>
        </row>
        <row r="272">
          <cell r="A272">
            <v>251</v>
          </cell>
          <cell r="B272">
            <v>125.5</v>
          </cell>
          <cell r="C272">
            <v>62.75</v>
          </cell>
          <cell r="D272">
            <v>20.916666666666668</v>
          </cell>
          <cell r="E272">
            <v>0</v>
          </cell>
        </row>
        <row r="273">
          <cell r="A273">
            <v>252</v>
          </cell>
          <cell r="B273">
            <v>126</v>
          </cell>
          <cell r="C273">
            <v>63</v>
          </cell>
          <cell r="D273">
            <v>21</v>
          </cell>
          <cell r="E273">
            <v>0</v>
          </cell>
        </row>
        <row r="274">
          <cell r="A274">
            <v>253</v>
          </cell>
          <cell r="B274">
            <v>126.5</v>
          </cell>
          <cell r="C274">
            <v>63.25</v>
          </cell>
          <cell r="D274">
            <v>21.083333333333332</v>
          </cell>
          <cell r="E274">
            <v>0</v>
          </cell>
        </row>
        <row r="275">
          <cell r="A275">
            <v>254</v>
          </cell>
          <cell r="B275">
            <v>127</v>
          </cell>
          <cell r="C275">
            <v>63.5</v>
          </cell>
          <cell r="D275">
            <v>21.166666666666668</v>
          </cell>
          <cell r="E275">
            <v>0</v>
          </cell>
        </row>
        <row r="276">
          <cell r="A276">
            <v>255</v>
          </cell>
          <cell r="B276">
            <v>127.5</v>
          </cell>
          <cell r="C276">
            <v>63.75</v>
          </cell>
          <cell r="D276">
            <v>21.25</v>
          </cell>
          <cell r="E276">
            <v>0</v>
          </cell>
        </row>
        <row r="277">
          <cell r="A277">
            <v>256</v>
          </cell>
          <cell r="B277">
            <v>128</v>
          </cell>
          <cell r="C277">
            <v>64</v>
          </cell>
          <cell r="D277">
            <v>21.333333333333332</v>
          </cell>
          <cell r="E277">
            <v>0</v>
          </cell>
        </row>
        <row r="278">
          <cell r="A278">
            <v>257</v>
          </cell>
          <cell r="B278">
            <v>128.5</v>
          </cell>
          <cell r="C278">
            <v>64.25</v>
          </cell>
          <cell r="D278">
            <v>21.416666666666668</v>
          </cell>
          <cell r="E278">
            <v>0</v>
          </cell>
        </row>
        <row r="279">
          <cell r="A279">
            <v>258</v>
          </cell>
          <cell r="B279">
            <v>129</v>
          </cell>
          <cell r="C279">
            <v>64.5</v>
          </cell>
          <cell r="D279">
            <v>21.5</v>
          </cell>
          <cell r="E279">
            <v>0</v>
          </cell>
        </row>
        <row r="280">
          <cell r="A280">
            <v>259</v>
          </cell>
          <cell r="B280">
            <v>129.5</v>
          </cell>
          <cell r="C280">
            <v>64.75</v>
          </cell>
          <cell r="D280">
            <v>21.583333333333332</v>
          </cell>
          <cell r="E280">
            <v>0</v>
          </cell>
        </row>
        <row r="281">
          <cell r="A281">
            <v>260</v>
          </cell>
          <cell r="B281">
            <v>130</v>
          </cell>
          <cell r="C281">
            <v>65</v>
          </cell>
          <cell r="D281">
            <v>21.666666666666668</v>
          </cell>
          <cell r="E281">
            <v>0</v>
          </cell>
        </row>
        <row r="282">
          <cell r="A282">
            <v>261</v>
          </cell>
          <cell r="B282">
            <v>130.5</v>
          </cell>
          <cell r="C282">
            <v>65.25</v>
          </cell>
          <cell r="D282">
            <v>21.75</v>
          </cell>
          <cell r="E282">
            <v>0</v>
          </cell>
        </row>
        <row r="283">
          <cell r="A283">
            <v>262</v>
          </cell>
          <cell r="B283">
            <v>131</v>
          </cell>
          <cell r="C283">
            <v>65.5</v>
          </cell>
          <cell r="D283">
            <v>21.833333333333332</v>
          </cell>
          <cell r="E283">
            <v>0</v>
          </cell>
        </row>
        <row r="284">
          <cell r="A284">
            <v>263</v>
          </cell>
          <cell r="B284">
            <v>131.5</v>
          </cell>
          <cell r="C284">
            <v>65.75</v>
          </cell>
          <cell r="D284">
            <v>21.916666666666668</v>
          </cell>
          <cell r="E284">
            <v>0</v>
          </cell>
        </row>
        <row r="285">
          <cell r="A285">
            <v>264</v>
          </cell>
          <cell r="B285">
            <v>132</v>
          </cell>
          <cell r="C285">
            <v>66</v>
          </cell>
          <cell r="D285">
            <v>22</v>
          </cell>
          <cell r="E285">
            <v>0</v>
          </cell>
        </row>
        <row r="286">
          <cell r="A286">
            <v>265</v>
          </cell>
          <cell r="B286">
            <v>132.5</v>
          </cell>
          <cell r="C286">
            <v>66.25</v>
          </cell>
          <cell r="D286">
            <v>22.083333333333332</v>
          </cell>
          <cell r="E286">
            <v>0</v>
          </cell>
        </row>
        <row r="287">
          <cell r="A287">
            <v>266</v>
          </cell>
          <cell r="B287">
            <v>133</v>
          </cell>
          <cell r="C287">
            <v>66.5</v>
          </cell>
          <cell r="D287">
            <v>22.166666666666668</v>
          </cell>
          <cell r="E287">
            <v>0</v>
          </cell>
        </row>
        <row r="288">
          <cell r="A288">
            <v>267</v>
          </cell>
          <cell r="B288">
            <v>133.5</v>
          </cell>
          <cell r="C288">
            <v>66.75</v>
          </cell>
          <cell r="D288">
            <v>22.25</v>
          </cell>
          <cell r="E288">
            <v>0</v>
          </cell>
        </row>
        <row r="289">
          <cell r="A289">
            <v>268</v>
          </cell>
          <cell r="B289">
            <v>134</v>
          </cell>
          <cell r="C289">
            <v>67</v>
          </cell>
          <cell r="D289">
            <v>22.333333333333332</v>
          </cell>
          <cell r="E289">
            <v>0</v>
          </cell>
        </row>
        <row r="290">
          <cell r="A290">
            <v>269</v>
          </cell>
          <cell r="B290">
            <v>134.5</v>
          </cell>
          <cell r="C290">
            <v>67.25</v>
          </cell>
          <cell r="D290">
            <v>22.416666666666668</v>
          </cell>
          <cell r="E290">
            <v>0</v>
          </cell>
        </row>
        <row r="291">
          <cell r="A291">
            <v>270</v>
          </cell>
          <cell r="B291">
            <v>135</v>
          </cell>
          <cell r="C291">
            <v>67.5</v>
          </cell>
          <cell r="D291">
            <v>22.5</v>
          </cell>
          <cell r="E291">
            <v>0</v>
          </cell>
        </row>
        <row r="292">
          <cell r="A292">
            <v>271</v>
          </cell>
          <cell r="B292">
            <v>135.5</v>
          </cell>
          <cell r="C292">
            <v>67.75</v>
          </cell>
          <cell r="D292">
            <v>22.583333333333332</v>
          </cell>
          <cell r="E292">
            <v>0</v>
          </cell>
        </row>
        <row r="293">
          <cell r="A293">
            <v>272</v>
          </cell>
          <cell r="B293">
            <v>136</v>
          </cell>
          <cell r="C293">
            <v>68</v>
          </cell>
          <cell r="D293">
            <v>22.666666666666668</v>
          </cell>
          <cell r="E293">
            <v>0</v>
          </cell>
        </row>
        <row r="294">
          <cell r="A294">
            <v>273</v>
          </cell>
          <cell r="B294">
            <v>136.5</v>
          </cell>
          <cell r="C294">
            <v>68.25</v>
          </cell>
          <cell r="D294">
            <v>22.75</v>
          </cell>
          <cell r="E294">
            <v>0</v>
          </cell>
        </row>
        <row r="295">
          <cell r="A295">
            <v>274</v>
          </cell>
          <cell r="B295">
            <v>137</v>
          </cell>
          <cell r="C295">
            <v>68.5</v>
          </cell>
          <cell r="D295">
            <v>22.833333333333332</v>
          </cell>
          <cell r="E295">
            <v>0</v>
          </cell>
        </row>
        <row r="296">
          <cell r="A296">
            <v>275</v>
          </cell>
          <cell r="B296">
            <v>137.5</v>
          </cell>
          <cell r="C296">
            <v>68.75</v>
          </cell>
          <cell r="D296">
            <v>22.916666666666668</v>
          </cell>
          <cell r="E296">
            <v>0</v>
          </cell>
        </row>
        <row r="297">
          <cell r="A297">
            <v>276</v>
          </cell>
          <cell r="B297">
            <v>138</v>
          </cell>
          <cell r="C297">
            <v>69</v>
          </cell>
          <cell r="D297">
            <v>23</v>
          </cell>
          <cell r="E297">
            <v>0</v>
          </cell>
        </row>
        <row r="298">
          <cell r="A298">
            <v>277</v>
          </cell>
          <cell r="B298">
            <v>138.5</v>
          </cell>
          <cell r="C298">
            <v>69.25</v>
          </cell>
          <cell r="D298">
            <v>23.083333333333332</v>
          </cell>
          <cell r="E298">
            <v>0</v>
          </cell>
        </row>
        <row r="299">
          <cell r="A299">
            <v>278</v>
          </cell>
          <cell r="B299">
            <v>139</v>
          </cell>
          <cell r="C299">
            <v>69.5</v>
          </cell>
          <cell r="D299">
            <v>23.166666666666668</v>
          </cell>
          <cell r="E299">
            <v>0</v>
          </cell>
        </row>
        <row r="300">
          <cell r="A300">
            <v>279</v>
          </cell>
          <cell r="B300">
            <v>139.5</v>
          </cell>
          <cell r="C300">
            <v>69.75</v>
          </cell>
          <cell r="D300">
            <v>23.25</v>
          </cell>
          <cell r="E300">
            <v>0</v>
          </cell>
        </row>
        <row r="301">
          <cell r="A301">
            <v>280</v>
          </cell>
          <cell r="B301">
            <v>140</v>
          </cell>
          <cell r="C301">
            <v>70</v>
          </cell>
          <cell r="D301">
            <v>23.333333333333332</v>
          </cell>
          <cell r="E301">
            <v>0</v>
          </cell>
        </row>
        <row r="302">
          <cell r="A302">
            <v>281</v>
          </cell>
          <cell r="B302">
            <v>140.5</v>
          </cell>
          <cell r="C302">
            <v>70.25</v>
          </cell>
          <cell r="D302">
            <v>23.416666666666668</v>
          </cell>
          <cell r="E302">
            <v>0</v>
          </cell>
        </row>
        <row r="303">
          <cell r="A303">
            <v>282</v>
          </cell>
          <cell r="B303">
            <v>141</v>
          </cell>
          <cell r="C303">
            <v>70.5</v>
          </cell>
          <cell r="D303">
            <v>23.5</v>
          </cell>
          <cell r="E303">
            <v>0</v>
          </cell>
        </row>
        <row r="304">
          <cell r="A304">
            <v>283</v>
          </cell>
          <cell r="B304">
            <v>141.5</v>
          </cell>
          <cell r="C304">
            <v>70.75</v>
          </cell>
          <cell r="D304">
            <v>23.583333333333332</v>
          </cell>
          <cell r="E304">
            <v>0</v>
          </cell>
        </row>
        <row r="305">
          <cell r="A305">
            <v>284</v>
          </cell>
          <cell r="B305">
            <v>142</v>
          </cell>
          <cell r="C305">
            <v>71</v>
          </cell>
          <cell r="D305">
            <v>23.666666666666668</v>
          </cell>
          <cell r="E305">
            <v>0</v>
          </cell>
        </row>
        <row r="306">
          <cell r="A306">
            <v>285</v>
          </cell>
          <cell r="B306">
            <v>142.5</v>
          </cell>
          <cell r="C306">
            <v>71.25</v>
          </cell>
          <cell r="D306">
            <v>23.75</v>
          </cell>
          <cell r="E306">
            <v>0</v>
          </cell>
        </row>
        <row r="307">
          <cell r="A307">
            <v>286</v>
          </cell>
          <cell r="B307">
            <v>143</v>
          </cell>
          <cell r="C307">
            <v>71.5</v>
          </cell>
          <cell r="D307">
            <v>23.833333333333332</v>
          </cell>
          <cell r="E307">
            <v>0</v>
          </cell>
        </row>
        <row r="308">
          <cell r="A308">
            <v>287</v>
          </cell>
          <cell r="B308">
            <v>143.5</v>
          </cell>
          <cell r="C308">
            <v>71.75</v>
          </cell>
          <cell r="D308">
            <v>23.916666666666668</v>
          </cell>
          <cell r="E308">
            <v>0</v>
          </cell>
        </row>
        <row r="309">
          <cell r="A309">
            <v>288</v>
          </cell>
          <cell r="B309">
            <v>144</v>
          </cell>
          <cell r="C309">
            <v>72</v>
          </cell>
          <cell r="D309">
            <v>24</v>
          </cell>
          <cell r="E309">
            <v>0</v>
          </cell>
        </row>
        <row r="310">
          <cell r="A310">
            <v>289</v>
          </cell>
          <cell r="B310">
            <v>144.5</v>
          </cell>
          <cell r="C310">
            <v>72.25</v>
          </cell>
          <cell r="D310">
            <v>24.083333333333332</v>
          </cell>
          <cell r="E310">
            <v>0</v>
          </cell>
        </row>
        <row r="311">
          <cell r="A311">
            <v>290</v>
          </cell>
          <cell r="B311">
            <v>145</v>
          </cell>
          <cell r="C311">
            <v>72.5</v>
          </cell>
          <cell r="D311">
            <v>24.166666666666668</v>
          </cell>
          <cell r="E311">
            <v>0</v>
          </cell>
        </row>
        <row r="312">
          <cell r="A312">
            <v>291</v>
          </cell>
          <cell r="B312">
            <v>145.5</v>
          </cell>
          <cell r="C312">
            <v>72.75</v>
          </cell>
          <cell r="D312">
            <v>24.25</v>
          </cell>
          <cell r="E312">
            <v>0</v>
          </cell>
        </row>
        <row r="313">
          <cell r="A313">
            <v>292</v>
          </cell>
          <cell r="B313">
            <v>146</v>
          </cell>
          <cell r="C313">
            <v>73</v>
          </cell>
          <cell r="D313">
            <v>24.333333333333332</v>
          </cell>
          <cell r="E313">
            <v>0</v>
          </cell>
        </row>
        <row r="314">
          <cell r="A314">
            <v>293</v>
          </cell>
          <cell r="B314">
            <v>146.5</v>
          </cell>
          <cell r="C314">
            <v>73.25</v>
          </cell>
          <cell r="D314">
            <v>24.416666666666668</v>
          </cell>
          <cell r="E314">
            <v>0</v>
          </cell>
        </row>
        <row r="315">
          <cell r="A315">
            <v>294</v>
          </cell>
          <cell r="B315">
            <v>147</v>
          </cell>
          <cell r="C315">
            <v>73.5</v>
          </cell>
          <cell r="D315">
            <v>24.5</v>
          </cell>
          <cell r="E315">
            <v>0</v>
          </cell>
        </row>
        <row r="316">
          <cell r="A316">
            <v>295</v>
          </cell>
          <cell r="B316">
            <v>147.5</v>
          </cell>
          <cell r="C316">
            <v>73.75</v>
          </cell>
          <cell r="D316">
            <v>24.583333333333332</v>
          </cell>
          <cell r="E316">
            <v>0</v>
          </cell>
        </row>
        <row r="317">
          <cell r="A317">
            <v>296</v>
          </cell>
          <cell r="B317">
            <v>148</v>
          </cell>
          <cell r="C317">
            <v>74</v>
          </cell>
          <cell r="D317">
            <v>24.666666666666668</v>
          </cell>
          <cell r="E317">
            <v>0</v>
          </cell>
        </row>
        <row r="318">
          <cell r="A318">
            <v>297</v>
          </cell>
          <cell r="B318">
            <v>148.5</v>
          </cell>
          <cell r="C318">
            <v>74.25</v>
          </cell>
          <cell r="D318">
            <v>24.75</v>
          </cell>
          <cell r="E318">
            <v>0</v>
          </cell>
        </row>
        <row r="319">
          <cell r="A319">
            <v>298</v>
          </cell>
          <cell r="B319">
            <v>149</v>
          </cell>
          <cell r="C319">
            <v>74.5</v>
          </cell>
          <cell r="D319">
            <v>24.833333333333332</v>
          </cell>
          <cell r="E319">
            <v>0</v>
          </cell>
        </row>
        <row r="320">
          <cell r="A320">
            <v>299</v>
          </cell>
          <cell r="B320">
            <v>149.5</v>
          </cell>
          <cell r="C320">
            <v>74.75</v>
          </cell>
          <cell r="D320">
            <v>24.916666666666668</v>
          </cell>
          <cell r="E320">
            <v>0</v>
          </cell>
        </row>
        <row r="321">
          <cell r="A321">
            <v>300</v>
          </cell>
          <cell r="B321">
            <v>150</v>
          </cell>
          <cell r="C321">
            <v>75</v>
          </cell>
          <cell r="D321">
            <v>25</v>
          </cell>
          <cell r="E321">
            <v>0</v>
          </cell>
        </row>
        <row r="322">
          <cell r="A322">
            <v>301</v>
          </cell>
          <cell r="B322">
            <v>150.5</v>
          </cell>
          <cell r="C322">
            <v>75.25</v>
          </cell>
          <cell r="D322">
            <v>25.083333333333332</v>
          </cell>
          <cell r="E322">
            <v>0</v>
          </cell>
        </row>
        <row r="323">
          <cell r="A323">
            <v>302</v>
          </cell>
          <cell r="B323">
            <v>151</v>
          </cell>
          <cell r="C323">
            <v>75.5</v>
          </cell>
          <cell r="D323">
            <v>25.166666666666668</v>
          </cell>
          <cell r="E323">
            <v>0</v>
          </cell>
        </row>
        <row r="324">
          <cell r="A324">
            <v>303</v>
          </cell>
          <cell r="B324">
            <v>151.5</v>
          </cell>
          <cell r="C324">
            <v>75.75</v>
          </cell>
          <cell r="D324">
            <v>25.25</v>
          </cell>
          <cell r="E324">
            <v>0</v>
          </cell>
        </row>
        <row r="325">
          <cell r="A325">
            <v>304</v>
          </cell>
          <cell r="B325">
            <v>152</v>
          </cell>
          <cell r="C325">
            <v>76</v>
          </cell>
          <cell r="D325">
            <v>25.333333333333332</v>
          </cell>
          <cell r="E325">
            <v>0</v>
          </cell>
        </row>
        <row r="326">
          <cell r="A326">
            <v>305</v>
          </cell>
          <cell r="B326">
            <v>152.5</v>
          </cell>
          <cell r="C326">
            <v>76.25</v>
          </cell>
          <cell r="D326">
            <v>25.416666666666668</v>
          </cell>
          <cell r="E326">
            <v>0</v>
          </cell>
        </row>
        <row r="327">
          <cell r="A327">
            <v>306</v>
          </cell>
          <cell r="B327">
            <v>153</v>
          </cell>
          <cell r="C327">
            <v>76.5</v>
          </cell>
          <cell r="D327">
            <v>25.5</v>
          </cell>
          <cell r="E327">
            <v>0</v>
          </cell>
        </row>
        <row r="328">
          <cell r="A328">
            <v>307</v>
          </cell>
          <cell r="B328">
            <v>153.5</v>
          </cell>
          <cell r="C328">
            <v>76.75</v>
          </cell>
          <cell r="D328">
            <v>25.583333333333332</v>
          </cell>
          <cell r="E328">
            <v>0</v>
          </cell>
        </row>
        <row r="329">
          <cell r="A329">
            <v>308</v>
          </cell>
          <cell r="B329">
            <v>154</v>
          </cell>
          <cell r="C329">
            <v>77</v>
          </cell>
          <cell r="D329">
            <v>25.666666666666668</v>
          </cell>
          <cell r="E329">
            <v>0</v>
          </cell>
        </row>
        <row r="330">
          <cell r="A330">
            <v>309</v>
          </cell>
          <cell r="B330">
            <v>154.5</v>
          </cell>
          <cell r="C330">
            <v>77.25</v>
          </cell>
          <cell r="D330">
            <v>25.75</v>
          </cell>
          <cell r="E330">
            <v>0</v>
          </cell>
        </row>
        <row r="331">
          <cell r="A331">
            <v>310</v>
          </cell>
          <cell r="B331">
            <v>155</v>
          </cell>
          <cell r="C331">
            <v>77.5</v>
          </cell>
          <cell r="D331">
            <v>25.833333333333332</v>
          </cell>
          <cell r="E331">
            <v>0</v>
          </cell>
        </row>
        <row r="332">
          <cell r="A332">
            <v>311</v>
          </cell>
          <cell r="B332">
            <v>155.5</v>
          </cell>
          <cell r="C332">
            <v>77.75</v>
          </cell>
          <cell r="D332">
            <v>25.916666666666668</v>
          </cell>
          <cell r="E332">
            <v>0</v>
          </cell>
        </row>
        <row r="333">
          <cell r="A333">
            <v>312</v>
          </cell>
          <cell r="B333">
            <v>156</v>
          </cell>
          <cell r="C333">
            <v>78</v>
          </cell>
          <cell r="D333">
            <v>26</v>
          </cell>
          <cell r="E333">
            <v>0</v>
          </cell>
        </row>
        <row r="334">
          <cell r="A334">
            <v>313</v>
          </cell>
          <cell r="B334">
            <v>156.5</v>
          </cell>
          <cell r="C334">
            <v>78.25</v>
          </cell>
          <cell r="D334">
            <v>26.083333333333332</v>
          </cell>
          <cell r="E334">
            <v>0</v>
          </cell>
        </row>
        <row r="335">
          <cell r="A335">
            <v>314</v>
          </cell>
          <cell r="B335">
            <v>157</v>
          </cell>
          <cell r="C335">
            <v>78.5</v>
          </cell>
          <cell r="D335">
            <v>26.166666666666668</v>
          </cell>
          <cell r="E335">
            <v>0</v>
          </cell>
        </row>
        <row r="336">
          <cell r="A336">
            <v>315</v>
          </cell>
          <cell r="B336">
            <v>157.5</v>
          </cell>
          <cell r="C336">
            <v>78.75</v>
          </cell>
          <cell r="D336">
            <v>26.25</v>
          </cell>
          <cell r="E336">
            <v>0</v>
          </cell>
        </row>
        <row r="337">
          <cell r="A337">
            <v>316</v>
          </cell>
          <cell r="B337">
            <v>158</v>
          </cell>
          <cell r="C337">
            <v>79</v>
          </cell>
          <cell r="D337">
            <v>26.333333333333332</v>
          </cell>
          <cell r="E337">
            <v>0</v>
          </cell>
        </row>
        <row r="338">
          <cell r="A338">
            <v>317</v>
          </cell>
          <cell r="B338">
            <v>158.5</v>
          </cell>
          <cell r="C338">
            <v>79.25</v>
          </cell>
          <cell r="D338">
            <v>26.416666666666668</v>
          </cell>
          <cell r="E338">
            <v>0</v>
          </cell>
        </row>
        <row r="339">
          <cell r="A339">
            <v>318</v>
          </cell>
          <cell r="B339">
            <v>159</v>
          </cell>
          <cell r="C339">
            <v>79.5</v>
          </cell>
          <cell r="D339">
            <v>26.5</v>
          </cell>
          <cell r="E339">
            <v>0</v>
          </cell>
        </row>
        <row r="340">
          <cell r="A340">
            <v>319</v>
          </cell>
          <cell r="B340">
            <v>159.5</v>
          </cell>
          <cell r="C340">
            <v>79.75</v>
          </cell>
          <cell r="D340">
            <v>26.583333333333332</v>
          </cell>
          <cell r="E340">
            <v>0</v>
          </cell>
        </row>
        <row r="341">
          <cell r="A341">
            <v>320</v>
          </cell>
          <cell r="B341">
            <v>160</v>
          </cell>
          <cell r="C341">
            <v>80</v>
          </cell>
          <cell r="D341">
            <v>26.666666666666668</v>
          </cell>
          <cell r="E341">
            <v>0</v>
          </cell>
        </row>
        <row r="342">
          <cell r="A342">
            <v>321</v>
          </cell>
          <cell r="B342">
            <v>160.5</v>
          </cell>
          <cell r="C342">
            <v>80.25</v>
          </cell>
          <cell r="D342">
            <v>26.75</v>
          </cell>
          <cell r="E342">
            <v>0</v>
          </cell>
        </row>
        <row r="343">
          <cell r="A343">
            <v>322</v>
          </cell>
          <cell r="B343">
            <v>161</v>
          </cell>
          <cell r="C343">
            <v>80.5</v>
          </cell>
          <cell r="D343">
            <v>26.833333333333332</v>
          </cell>
          <cell r="E343">
            <v>0</v>
          </cell>
        </row>
        <row r="344">
          <cell r="A344">
            <v>323</v>
          </cell>
          <cell r="B344">
            <v>161.5</v>
          </cell>
          <cell r="C344">
            <v>80.75</v>
          </cell>
          <cell r="D344">
            <v>26.916666666666668</v>
          </cell>
          <cell r="E344">
            <v>0</v>
          </cell>
        </row>
        <row r="345">
          <cell r="A345">
            <v>324</v>
          </cell>
          <cell r="B345">
            <v>162</v>
          </cell>
          <cell r="C345">
            <v>81</v>
          </cell>
          <cell r="D345">
            <v>27</v>
          </cell>
          <cell r="E345">
            <v>0</v>
          </cell>
        </row>
        <row r="346">
          <cell r="A346">
            <v>325</v>
          </cell>
          <cell r="B346">
            <v>162.5</v>
          </cell>
          <cell r="C346">
            <v>81.25</v>
          </cell>
          <cell r="D346">
            <v>27.083333333333332</v>
          </cell>
          <cell r="E346">
            <v>0</v>
          </cell>
        </row>
        <row r="347">
          <cell r="A347">
            <v>326</v>
          </cell>
          <cell r="B347">
            <v>163</v>
          </cell>
          <cell r="C347">
            <v>81.5</v>
          </cell>
          <cell r="D347">
            <v>27.166666666666668</v>
          </cell>
          <cell r="E347">
            <v>0</v>
          </cell>
        </row>
        <row r="348">
          <cell r="A348">
            <v>327</v>
          </cell>
          <cell r="B348">
            <v>163.5</v>
          </cell>
          <cell r="C348">
            <v>81.75</v>
          </cell>
          <cell r="D348">
            <v>27.25</v>
          </cell>
          <cell r="E348">
            <v>0</v>
          </cell>
        </row>
        <row r="349">
          <cell r="A349">
            <v>328</v>
          </cell>
          <cell r="B349">
            <v>164</v>
          </cell>
          <cell r="C349">
            <v>82</v>
          </cell>
          <cell r="D349">
            <v>27.333333333333332</v>
          </cell>
          <cell r="E349">
            <v>0</v>
          </cell>
        </row>
        <row r="350">
          <cell r="A350">
            <v>329</v>
          </cell>
          <cell r="B350">
            <v>164.5</v>
          </cell>
          <cell r="C350">
            <v>82.25</v>
          </cell>
          <cell r="D350">
            <v>27.416666666666668</v>
          </cell>
          <cell r="E350">
            <v>0</v>
          </cell>
        </row>
        <row r="351">
          <cell r="A351">
            <v>330</v>
          </cell>
          <cell r="B351">
            <v>165</v>
          </cell>
          <cell r="C351">
            <v>82.5</v>
          </cell>
          <cell r="D351">
            <v>27.5</v>
          </cell>
          <cell r="E351">
            <v>0</v>
          </cell>
        </row>
        <row r="352">
          <cell r="A352">
            <v>331</v>
          </cell>
          <cell r="B352">
            <v>165.5</v>
          </cell>
          <cell r="C352">
            <v>82.75</v>
          </cell>
          <cell r="D352">
            <v>27.583333333333332</v>
          </cell>
          <cell r="E352">
            <v>0</v>
          </cell>
        </row>
        <row r="353">
          <cell r="A353">
            <v>332</v>
          </cell>
          <cell r="B353">
            <v>166</v>
          </cell>
          <cell r="C353">
            <v>83</v>
          </cell>
          <cell r="D353">
            <v>27.666666666666668</v>
          </cell>
          <cell r="E353">
            <v>0</v>
          </cell>
        </row>
        <row r="354">
          <cell r="A354">
            <v>333</v>
          </cell>
          <cell r="B354">
            <v>166.5</v>
          </cell>
          <cell r="C354">
            <v>83.25</v>
          </cell>
          <cell r="D354">
            <v>27.75</v>
          </cell>
          <cell r="E354">
            <v>0</v>
          </cell>
        </row>
        <row r="355">
          <cell r="A355">
            <v>334</v>
          </cell>
          <cell r="B355">
            <v>167</v>
          </cell>
          <cell r="C355">
            <v>83.5</v>
          </cell>
          <cell r="D355">
            <v>27.833333333333332</v>
          </cell>
          <cell r="E355">
            <v>0</v>
          </cell>
        </row>
        <row r="356">
          <cell r="A356">
            <v>335</v>
          </cell>
          <cell r="B356">
            <v>167.5</v>
          </cell>
          <cell r="C356">
            <v>83.75</v>
          </cell>
          <cell r="D356">
            <v>27.916666666666668</v>
          </cell>
          <cell r="E356">
            <v>0</v>
          </cell>
        </row>
        <row r="357">
          <cell r="A357">
            <v>336</v>
          </cell>
          <cell r="B357">
            <v>168</v>
          </cell>
          <cell r="C357">
            <v>84</v>
          </cell>
          <cell r="D357">
            <v>28</v>
          </cell>
          <cell r="E357">
            <v>0</v>
          </cell>
        </row>
        <row r="358">
          <cell r="A358">
            <v>337</v>
          </cell>
          <cell r="B358">
            <v>168.5</v>
          </cell>
          <cell r="C358">
            <v>84.25</v>
          </cell>
          <cell r="D358">
            <v>28.083333333333332</v>
          </cell>
          <cell r="E358">
            <v>0</v>
          </cell>
        </row>
        <row r="359">
          <cell r="A359">
            <v>338</v>
          </cell>
          <cell r="B359">
            <v>169</v>
          </cell>
          <cell r="C359">
            <v>84.5</v>
          </cell>
          <cell r="D359">
            <v>28.166666666666668</v>
          </cell>
          <cell r="E359">
            <v>0</v>
          </cell>
        </row>
        <row r="360">
          <cell r="A360">
            <v>339</v>
          </cell>
          <cell r="B360">
            <v>169.5</v>
          </cell>
          <cell r="C360">
            <v>84.75</v>
          </cell>
          <cell r="D360">
            <v>28.25</v>
          </cell>
          <cell r="E360">
            <v>0</v>
          </cell>
        </row>
        <row r="361">
          <cell r="A361">
            <v>340</v>
          </cell>
          <cell r="B361">
            <v>170</v>
          </cell>
          <cell r="C361">
            <v>85</v>
          </cell>
          <cell r="D361">
            <v>28.333333333333332</v>
          </cell>
          <cell r="E361">
            <v>0</v>
          </cell>
        </row>
        <row r="362">
          <cell r="A362">
            <v>341</v>
          </cell>
          <cell r="B362">
            <v>170.5</v>
          </cell>
          <cell r="C362">
            <v>85.25</v>
          </cell>
          <cell r="D362">
            <v>28.416666666666668</v>
          </cell>
          <cell r="E362">
            <v>0</v>
          </cell>
        </row>
        <row r="363">
          <cell r="A363">
            <v>342</v>
          </cell>
          <cell r="B363">
            <v>171</v>
          </cell>
          <cell r="C363">
            <v>85.5</v>
          </cell>
          <cell r="D363">
            <v>28.5</v>
          </cell>
          <cell r="E363">
            <v>0</v>
          </cell>
        </row>
        <row r="364">
          <cell r="A364">
            <v>343</v>
          </cell>
          <cell r="B364">
            <v>171.5</v>
          </cell>
          <cell r="C364">
            <v>85.75</v>
          </cell>
          <cell r="D364">
            <v>28.583333333333332</v>
          </cell>
          <cell r="E364">
            <v>0</v>
          </cell>
        </row>
        <row r="365">
          <cell r="A365">
            <v>344</v>
          </cell>
          <cell r="B365">
            <v>172</v>
          </cell>
          <cell r="C365">
            <v>86</v>
          </cell>
          <cell r="D365">
            <v>28.666666666666668</v>
          </cell>
          <cell r="E365">
            <v>0</v>
          </cell>
        </row>
        <row r="366">
          <cell r="A366">
            <v>345</v>
          </cell>
          <cell r="B366">
            <v>172.5</v>
          </cell>
          <cell r="C366">
            <v>86.25</v>
          </cell>
          <cell r="D366">
            <v>28.75</v>
          </cell>
          <cell r="E366">
            <v>0</v>
          </cell>
        </row>
        <row r="367">
          <cell r="A367">
            <v>346</v>
          </cell>
          <cell r="B367">
            <v>173</v>
          </cell>
          <cell r="C367">
            <v>86.5</v>
          </cell>
          <cell r="D367">
            <v>28.833333333333332</v>
          </cell>
          <cell r="E367">
            <v>0</v>
          </cell>
        </row>
        <row r="368">
          <cell r="A368">
            <v>347</v>
          </cell>
          <cell r="B368">
            <v>173.5</v>
          </cell>
          <cell r="C368">
            <v>86.75</v>
          </cell>
          <cell r="D368">
            <v>28.916666666666668</v>
          </cell>
          <cell r="E368">
            <v>0</v>
          </cell>
        </row>
        <row r="369">
          <cell r="A369">
            <v>348</v>
          </cell>
          <cell r="B369">
            <v>174</v>
          </cell>
          <cell r="C369">
            <v>87</v>
          </cell>
          <cell r="D369">
            <v>29</v>
          </cell>
          <cell r="E369">
            <v>0</v>
          </cell>
        </row>
        <row r="370">
          <cell r="A370">
            <v>349</v>
          </cell>
          <cell r="B370">
            <v>174.5</v>
          </cell>
          <cell r="C370">
            <v>87.25</v>
          </cell>
          <cell r="D370">
            <v>29.083333333333332</v>
          </cell>
          <cell r="E370">
            <v>0</v>
          </cell>
        </row>
        <row r="371">
          <cell r="A371">
            <v>350</v>
          </cell>
          <cell r="B371">
            <v>175</v>
          </cell>
          <cell r="C371">
            <v>87.5</v>
          </cell>
          <cell r="D371">
            <v>29.166666666666668</v>
          </cell>
          <cell r="E371">
            <v>0</v>
          </cell>
        </row>
        <row r="372">
          <cell r="A372">
            <v>351</v>
          </cell>
          <cell r="B372">
            <v>175.5</v>
          </cell>
          <cell r="C372">
            <v>87.75</v>
          </cell>
          <cell r="D372">
            <v>29.25</v>
          </cell>
          <cell r="E372">
            <v>0</v>
          </cell>
        </row>
        <row r="373">
          <cell r="A373">
            <v>352</v>
          </cell>
          <cell r="B373">
            <v>176</v>
          </cell>
          <cell r="C373">
            <v>88</v>
          </cell>
          <cell r="D373">
            <v>29.333333333333332</v>
          </cell>
          <cell r="E373">
            <v>0</v>
          </cell>
        </row>
        <row r="374">
          <cell r="A374">
            <v>353</v>
          </cell>
          <cell r="B374">
            <v>176.5</v>
          </cell>
          <cell r="C374">
            <v>88.25</v>
          </cell>
          <cell r="D374">
            <v>29.416666666666668</v>
          </cell>
          <cell r="E374">
            <v>0</v>
          </cell>
        </row>
        <row r="375">
          <cell r="A375">
            <v>354</v>
          </cell>
          <cell r="B375">
            <v>177</v>
          </cell>
          <cell r="C375">
            <v>88.5</v>
          </cell>
          <cell r="D375">
            <v>29.5</v>
          </cell>
          <cell r="E375">
            <v>0</v>
          </cell>
        </row>
        <row r="376">
          <cell r="A376">
            <v>355</v>
          </cell>
          <cell r="B376">
            <v>177.5</v>
          </cell>
          <cell r="C376">
            <v>88.75</v>
          </cell>
          <cell r="D376">
            <v>29.583333333333332</v>
          </cell>
          <cell r="E376">
            <v>0</v>
          </cell>
        </row>
        <row r="377">
          <cell r="A377">
            <v>356</v>
          </cell>
          <cell r="B377">
            <v>178</v>
          </cell>
          <cell r="C377">
            <v>89</v>
          </cell>
          <cell r="D377">
            <v>29.666666666666668</v>
          </cell>
          <cell r="E377">
            <v>0</v>
          </cell>
        </row>
        <row r="378">
          <cell r="A378">
            <v>357</v>
          </cell>
          <cell r="B378">
            <v>178.5</v>
          </cell>
          <cell r="C378">
            <v>89.25</v>
          </cell>
          <cell r="D378">
            <v>29.75</v>
          </cell>
          <cell r="E378">
            <v>0</v>
          </cell>
        </row>
        <row r="379">
          <cell r="A379">
            <v>358</v>
          </cell>
          <cell r="B379">
            <v>179</v>
          </cell>
          <cell r="C379">
            <v>89.5</v>
          </cell>
          <cell r="D379">
            <v>29.833333333333332</v>
          </cell>
          <cell r="E379">
            <v>0</v>
          </cell>
        </row>
        <row r="380">
          <cell r="A380">
            <v>359</v>
          </cell>
          <cell r="B380">
            <v>179.5</v>
          </cell>
          <cell r="C380">
            <v>89.75</v>
          </cell>
          <cell r="D380">
            <v>29.916666666666668</v>
          </cell>
          <cell r="E380">
            <v>0</v>
          </cell>
        </row>
        <row r="381">
          <cell r="A381">
            <v>360</v>
          </cell>
          <cell r="B381">
            <v>180</v>
          </cell>
          <cell r="C381">
            <v>90</v>
          </cell>
          <cell r="D381">
            <v>30</v>
          </cell>
          <cell r="E381">
            <v>0</v>
          </cell>
        </row>
      </sheetData>
      <sheetData sheetId="4">
        <row r="17">
          <cell r="AG17">
            <v>3.0331550430465306</v>
          </cell>
        </row>
        <row r="18">
          <cell r="AA18">
            <v>2.9046473782542437</v>
          </cell>
        </row>
        <row r="22">
          <cell r="A22">
            <v>1</v>
          </cell>
          <cell r="B22">
            <v>0.5</v>
          </cell>
          <cell r="C22">
            <v>0.25</v>
          </cell>
          <cell r="D22">
            <v>8.3333333333333329E-2</v>
          </cell>
          <cell r="E22">
            <v>9913856.508472722</v>
          </cell>
        </row>
        <row r="23">
          <cell r="A23">
            <v>2</v>
          </cell>
          <cell r="B23">
            <v>1</v>
          </cell>
          <cell r="C23">
            <v>0.5</v>
          </cell>
          <cell r="D23">
            <v>0.16666666666666666</v>
          </cell>
          <cell r="E23">
            <v>9827767.9159954786</v>
          </cell>
        </row>
        <row r="24">
          <cell r="A24">
            <v>3</v>
          </cell>
          <cell r="B24">
            <v>1.5</v>
          </cell>
          <cell r="C24">
            <v>0.75</v>
          </cell>
          <cell r="D24">
            <v>0.25</v>
          </cell>
          <cell r="E24">
            <v>9741734.022254793</v>
          </cell>
        </row>
        <row r="25">
          <cell r="A25">
            <v>4</v>
          </cell>
          <cell r="B25">
            <v>2</v>
          </cell>
          <cell r="C25">
            <v>1</v>
          </cell>
          <cell r="D25">
            <v>0.33333333333333331</v>
          </cell>
          <cell r="E25">
            <v>9655754.6271304376</v>
          </cell>
        </row>
        <row r="26">
          <cell r="A26">
            <v>5</v>
          </cell>
          <cell r="B26">
            <v>2.5</v>
          </cell>
          <cell r="C26">
            <v>1.25</v>
          </cell>
          <cell r="D26">
            <v>0.41666666666666669</v>
          </cell>
          <cell r="E26">
            <v>9569829.5306949355</v>
          </cell>
        </row>
        <row r="27">
          <cell r="A27">
            <v>6</v>
          </cell>
          <cell r="B27">
            <v>3</v>
          </cell>
          <cell r="C27">
            <v>1.5</v>
          </cell>
          <cell r="D27">
            <v>0.5</v>
          </cell>
          <cell r="E27">
            <v>9483958.5332130753</v>
          </cell>
        </row>
        <row r="28">
          <cell r="A28">
            <v>7</v>
          </cell>
          <cell r="B28">
            <v>3.5</v>
          </cell>
          <cell r="C28">
            <v>1.75</v>
          </cell>
          <cell r="D28">
            <v>0.58333333333333337</v>
          </cell>
          <cell r="E28">
            <v>9398141.4351414125</v>
          </cell>
        </row>
        <row r="29">
          <cell r="A29">
            <v>8</v>
          </cell>
          <cell r="B29">
            <v>4</v>
          </cell>
          <cell r="C29">
            <v>2</v>
          </cell>
          <cell r="D29">
            <v>0.66666666666666663</v>
          </cell>
          <cell r="E29">
            <v>9312378.037127791</v>
          </cell>
        </row>
        <row r="30">
          <cell r="A30">
            <v>9</v>
          </cell>
          <cell r="B30">
            <v>4.5</v>
          </cell>
          <cell r="C30">
            <v>2.25</v>
          </cell>
          <cell r="D30">
            <v>0.75</v>
          </cell>
          <cell r="E30">
            <v>9226668.1400108431</v>
          </cell>
        </row>
        <row r="31">
          <cell r="A31">
            <v>10</v>
          </cell>
          <cell r="B31">
            <v>5</v>
          </cell>
          <cell r="C31">
            <v>2.5</v>
          </cell>
          <cell r="D31">
            <v>0.83333333333333337</v>
          </cell>
          <cell r="E31">
            <v>9141011.544819504</v>
          </cell>
        </row>
        <row r="32">
          <cell r="A32">
            <v>11</v>
          </cell>
          <cell r="B32">
            <v>5.5</v>
          </cell>
          <cell r="C32">
            <v>2.75</v>
          </cell>
          <cell r="D32">
            <v>0.91666666666666663</v>
          </cell>
          <cell r="E32">
            <v>9055408.0527725276</v>
          </cell>
        </row>
        <row r="33">
          <cell r="A33">
            <v>12</v>
          </cell>
          <cell r="B33">
            <v>6</v>
          </cell>
          <cell r="C33">
            <v>3</v>
          </cell>
          <cell r="D33">
            <v>1</v>
          </cell>
          <cell r="E33">
            <v>8969857.4652779922</v>
          </cell>
        </row>
        <row r="34">
          <cell r="A34">
            <v>13</v>
          </cell>
          <cell r="B34">
            <v>6.5</v>
          </cell>
          <cell r="C34">
            <v>3.25</v>
          </cell>
          <cell r="D34">
            <v>1.0833333333333333</v>
          </cell>
          <cell r="E34">
            <v>8884359.583932817</v>
          </cell>
        </row>
        <row r="35">
          <cell r="A35">
            <v>14</v>
          </cell>
          <cell r="B35">
            <v>7</v>
          </cell>
          <cell r="C35">
            <v>3.5</v>
          </cell>
          <cell r="D35">
            <v>1.1666666666666667</v>
          </cell>
          <cell r="E35">
            <v>8798914.2105222773</v>
          </cell>
        </row>
        <row r="36">
          <cell r="A36">
            <v>15</v>
          </cell>
          <cell r="B36">
            <v>7.5</v>
          </cell>
          <cell r="C36">
            <v>3.75</v>
          </cell>
          <cell r="D36">
            <v>1.25</v>
          </cell>
          <cell r="E36">
            <v>8713521.1470195167</v>
          </cell>
        </row>
        <row r="37">
          <cell r="A37">
            <v>16</v>
          </cell>
          <cell r="B37">
            <v>8</v>
          </cell>
          <cell r="C37">
            <v>4</v>
          </cell>
          <cell r="D37">
            <v>1.3333333333333333</v>
          </cell>
          <cell r="E37">
            <v>8628180.1955850609</v>
          </cell>
        </row>
        <row r="38">
          <cell r="A38">
            <v>17</v>
          </cell>
          <cell r="B38">
            <v>8.5</v>
          </cell>
          <cell r="C38">
            <v>4.25</v>
          </cell>
          <cell r="D38">
            <v>1.4166666666666667</v>
          </cell>
          <cell r="E38">
            <v>8542891.1585663315</v>
          </cell>
        </row>
        <row r="39">
          <cell r="A39">
            <v>18</v>
          </cell>
          <cell r="B39">
            <v>9</v>
          </cell>
          <cell r="C39">
            <v>4.5</v>
          </cell>
          <cell r="D39">
            <v>1.5</v>
          </cell>
          <cell r="E39">
            <v>8457653.8384971656</v>
          </cell>
        </row>
        <row r="40">
          <cell r="A40">
            <v>19</v>
          </cell>
          <cell r="B40">
            <v>9.5</v>
          </cell>
          <cell r="C40">
            <v>4.75</v>
          </cell>
          <cell r="D40">
            <v>1.5833333333333333</v>
          </cell>
          <cell r="E40">
            <v>8372468.0380973313</v>
          </cell>
        </row>
        <row r="41">
          <cell r="A41">
            <v>20</v>
          </cell>
          <cell r="B41">
            <v>10</v>
          </cell>
          <cell r="C41">
            <v>5</v>
          </cell>
          <cell r="D41">
            <v>1.6666666666666667</v>
          </cell>
          <cell r="E41">
            <v>8287333.5602720445</v>
          </cell>
        </row>
        <row r="42">
          <cell r="A42">
            <v>21</v>
          </cell>
          <cell r="B42">
            <v>10.5</v>
          </cell>
          <cell r="C42">
            <v>5.25</v>
          </cell>
          <cell r="D42">
            <v>1.75</v>
          </cell>
          <cell r="E42">
            <v>8202250.2081114836</v>
          </cell>
        </row>
        <row r="43">
          <cell r="A43">
            <v>22</v>
          </cell>
          <cell r="B43">
            <v>11</v>
          </cell>
          <cell r="C43">
            <v>5.5</v>
          </cell>
          <cell r="D43">
            <v>1.8333333333333333</v>
          </cell>
          <cell r="E43">
            <v>8117217.7848903127</v>
          </cell>
        </row>
        <row r="44">
          <cell r="A44">
            <v>23</v>
          </cell>
          <cell r="B44">
            <v>11.5</v>
          </cell>
          <cell r="C44">
            <v>5.75</v>
          </cell>
          <cell r="D44">
            <v>1.9166666666666667</v>
          </cell>
          <cell r="E44">
            <v>8032236.0940671964</v>
          </cell>
        </row>
        <row r="45">
          <cell r="A45">
            <v>24</v>
          </cell>
          <cell r="B45">
            <v>12</v>
          </cell>
          <cell r="C45">
            <v>6</v>
          </cell>
          <cell r="D45">
            <v>2</v>
          </cell>
          <cell r="E45">
            <v>7947304.93928432</v>
          </cell>
        </row>
        <row r="46">
          <cell r="A46">
            <v>25</v>
          </cell>
          <cell r="B46">
            <v>12.5</v>
          </cell>
          <cell r="C46">
            <v>6.25</v>
          </cell>
          <cell r="D46">
            <v>2.0833333333333335</v>
          </cell>
          <cell r="E46">
            <v>7862424.1243669102</v>
          </cell>
        </row>
        <row r="47">
          <cell r="A47">
            <v>26</v>
          </cell>
          <cell r="B47">
            <v>13</v>
          </cell>
          <cell r="C47">
            <v>6.5</v>
          </cell>
          <cell r="D47">
            <v>2.1666666666666665</v>
          </cell>
          <cell r="E47">
            <v>7777593.4533227542</v>
          </cell>
        </row>
        <row r="48">
          <cell r="A48">
            <v>27</v>
          </cell>
          <cell r="B48">
            <v>13.5</v>
          </cell>
          <cell r="C48">
            <v>6.75</v>
          </cell>
          <cell r="D48">
            <v>2.25</v>
          </cell>
          <cell r="E48">
            <v>7692812.7303417223</v>
          </cell>
        </row>
        <row r="49">
          <cell r="A49">
            <v>28</v>
          </cell>
          <cell r="B49">
            <v>14</v>
          </cell>
          <cell r="C49">
            <v>7</v>
          </cell>
          <cell r="D49">
            <v>2.3333333333333335</v>
          </cell>
          <cell r="E49">
            <v>7608081.7597952886</v>
          </cell>
        </row>
        <row r="50">
          <cell r="A50">
            <v>29</v>
          </cell>
          <cell r="B50">
            <v>14.5</v>
          </cell>
          <cell r="C50">
            <v>7.25</v>
          </cell>
          <cell r="D50">
            <v>2.4166666666666665</v>
          </cell>
          <cell r="E50">
            <v>7523400.3462360529</v>
          </cell>
        </row>
        <row r="51">
          <cell r="A51">
            <v>30</v>
          </cell>
          <cell r="B51">
            <v>15</v>
          </cell>
          <cell r="C51">
            <v>7.5</v>
          </cell>
          <cell r="D51">
            <v>2.5</v>
          </cell>
          <cell r="E51">
            <v>7438768.2943972638</v>
          </cell>
        </row>
        <row r="52">
          <cell r="A52">
            <v>31</v>
          </cell>
          <cell r="B52">
            <v>15.5</v>
          </cell>
          <cell r="C52">
            <v>7.75</v>
          </cell>
          <cell r="D52">
            <v>2.5833333333333335</v>
          </cell>
          <cell r="E52">
            <v>7354185.4091923423</v>
          </cell>
        </row>
        <row r="53">
          <cell r="A53">
            <v>32</v>
          </cell>
          <cell r="B53">
            <v>16</v>
          </cell>
          <cell r="C53">
            <v>8</v>
          </cell>
          <cell r="D53">
            <v>2.6666666666666665</v>
          </cell>
          <cell r="E53">
            <v>7269651.4957144046</v>
          </cell>
        </row>
        <row r="54">
          <cell r="A54">
            <v>33</v>
          </cell>
          <cell r="B54">
            <v>16.5</v>
          </cell>
          <cell r="C54">
            <v>8.25</v>
          </cell>
          <cell r="D54">
            <v>2.75</v>
          </cell>
          <cell r="E54">
            <v>7185166.3592357868</v>
          </cell>
        </row>
        <row r="55">
          <cell r="A55">
            <v>34</v>
          </cell>
          <cell r="B55">
            <v>17</v>
          </cell>
          <cell r="C55">
            <v>8.5</v>
          </cell>
          <cell r="D55">
            <v>2.8333333333333335</v>
          </cell>
          <cell r="E55">
            <v>7100729.8052075701</v>
          </cell>
        </row>
        <row r="56">
          <cell r="A56">
            <v>35</v>
          </cell>
          <cell r="B56">
            <v>17.5</v>
          </cell>
          <cell r="C56">
            <v>8.75</v>
          </cell>
          <cell r="D56">
            <v>2.9166666666666665</v>
          </cell>
          <cell r="E56">
            <v>7016341.6392591083</v>
          </cell>
        </row>
        <row r="57">
          <cell r="A57">
            <v>36</v>
          </cell>
          <cell r="B57">
            <v>18</v>
          </cell>
          <cell r="C57">
            <v>9</v>
          </cell>
          <cell r="D57">
            <v>3</v>
          </cell>
          <cell r="E57">
            <v>6932001.6671975506</v>
          </cell>
        </row>
        <row r="58">
          <cell r="A58">
            <v>37</v>
          </cell>
          <cell r="B58">
            <v>18.5</v>
          </cell>
          <cell r="C58">
            <v>9.25</v>
          </cell>
          <cell r="D58">
            <v>3.0833333333333335</v>
          </cell>
          <cell r="E58">
            <v>6847709.695007368</v>
          </cell>
        </row>
        <row r="59">
          <cell r="A59">
            <v>38</v>
          </cell>
          <cell r="B59">
            <v>19</v>
          </cell>
          <cell r="C59">
            <v>9.5</v>
          </cell>
          <cell r="D59">
            <v>3.1666666666666665</v>
          </cell>
          <cell r="E59">
            <v>6763465.5288498839</v>
          </cell>
        </row>
        <row r="60">
          <cell r="A60">
            <v>39</v>
          </cell>
          <cell r="B60">
            <v>19.5</v>
          </cell>
          <cell r="C60">
            <v>9.75</v>
          </cell>
          <cell r="D60">
            <v>3.25</v>
          </cell>
          <cell r="E60">
            <v>6679268.9750628006</v>
          </cell>
        </row>
        <row r="61">
          <cell r="A61">
            <v>40</v>
          </cell>
          <cell r="B61">
            <v>20</v>
          </cell>
          <cell r="C61">
            <v>10</v>
          </cell>
          <cell r="D61">
            <v>3.3333333333333335</v>
          </cell>
          <cell r="E61">
            <v>6595119.8401597245</v>
          </cell>
        </row>
        <row r="62">
          <cell r="A62">
            <v>41</v>
          </cell>
          <cell r="B62">
            <v>20.5</v>
          </cell>
          <cell r="C62">
            <v>10.25</v>
          </cell>
          <cell r="D62">
            <v>3.4166666666666665</v>
          </cell>
          <cell r="E62">
            <v>6511017.9308297001</v>
          </cell>
        </row>
        <row r="63">
          <cell r="A63">
            <v>42</v>
          </cell>
          <cell r="B63">
            <v>21</v>
          </cell>
          <cell r="C63">
            <v>10.5</v>
          </cell>
          <cell r="D63">
            <v>3.5</v>
          </cell>
          <cell r="E63">
            <v>6426963.0539367339</v>
          </cell>
        </row>
        <row r="64">
          <cell r="A64">
            <v>43</v>
          </cell>
          <cell r="B64">
            <v>21.5</v>
          </cell>
          <cell r="C64">
            <v>10.75</v>
          </cell>
          <cell r="D64">
            <v>3.5833333333333335</v>
          </cell>
          <cell r="E64">
            <v>6342955.0165193295</v>
          </cell>
        </row>
        <row r="65">
          <cell r="A65">
            <v>44</v>
          </cell>
          <cell r="B65">
            <v>22</v>
          </cell>
          <cell r="C65">
            <v>11</v>
          </cell>
          <cell r="D65">
            <v>3.6666666666666665</v>
          </cell>
          <cell r="E65">
            <v>6258993.6257900149</v>
          </cell>
        </row>
        <row r="66">
          <cell r="A66">
            <v>45</v>
          </cell>
          <cell r="B66">
            <v>22.5</v>
          </cell>
          <cell r="C66">
            <v>11.25</v>
          </cell>
          <cell r="D66">
            <v>3.75</v>
          </cell>
          <cell r="E66">
            <v>6175078.6891348753</v>
          </cell>
        </row>
        <row r="67">
          <cell r="A67">
            <v>46</v>
          </cell>
          <cell r="B67">
            <v>23</v>
          </cell>
          <cell r="C67">
            <v>11.5</v>
          </cell>
          <cell r="D67">
            <v>3.8333333333333335</v>
          </cell>
          <cell r="E67">
            <v>6091210.0141130826</v>
          </cell>
        </row>
        <row r="68">
          <cell r="A68">
            <v>47</v>
          </cell>
          <cell r="B68">
            <v>23.5</v>
          </cell>
          <cell r="C68">
            <v>11.75</v>
          </cell>
          <cell r="D68">
            <v>3.9166666666666665</v>
          </cell>
          <cell r="E68">
            <v>6007387.408456428</v>
          </cell>
        </row>
        <row r="69">
          <cell r="A69">
            <v>48</v>
          </cell>
          <cell r="B69">
            <v>24</v>
          </cell>
          <cell r="C69">
            <v>12</v>
          </cell>
          <cell r="D69">
            <v>4</v>
          </cell>
          <cell r="E69">
            <v>5923610.680068858</v>
          </cell>
        </row>
        <row r="70">
          <cell r="A70">
            <v>49</v>
          </cell>
          <cell r="B70">
            <v>24.5</v>
          </cell>
          <cell r="C70">
            <v>12.25</v>
          </cell>
          <cell r="D70">
            <v>4.083333333333333</v>
          </cell>
          <cell r="E70">
            <v>5839879.6370260026</v>
          </cell>
        </row>
        <row r="71">
          <cell r="A71">
            <v>50</v>
          </cell>
          <cell r="B71">
            <v>25</v>
          </cell>
          <cell r="C71">
            <v>12.5</v>
          </cell>
          <cell r="D71">
            <v>4.166666666666667</v>
          </cell>
          <cell r="E71">
            <v>5756194.0875747129</v>
          </cell>
        </row>
        <row r="72">
          <cell r="A72">
            <v>51</v>
          </cell>
          <cell r="B72">
            <v>25.5</v>
          </cell>
          <cell r="C72">
            <v>12.75</v>
          </cell>
          <cell r="D72">
            <v>4.25</v>
          </cell>
          <cell r="E72">
            <v>5672553.8401325941</v>
          </cell>
        </row>
        <row r="73">
          <cell r="A73">
            <v>52</v>
          </cell>
          <cell r="B73">
            <v>26</v>
          </cell>
          <cell r="C73">
            <v>13</v>
          </cell>
          <cell r="D73">
            <v>4.333333333333333</v>
          </cell>
          <cell r="E73">
            <v>5588958.7032875381</v>
          </cell>
        </row>
        <row r="74">
          <cell r="A74">
            <v>53</v>
          </cell>
          <cell r="B74">
            <v>26.5</v>
          </cell>
          <cell r="C74">
            <v>13.25</v>
          </cell>
          <cell r="D74">
            <v>4.416666666666667</v>
          </cell>
          <cell r="E74">
            <v>5505408.4857972646</v>
          </cell>
        </row>
        <row r="75">
          <cell r="A75">
            <v>54</v>
          </cell>
          <cell r="B75">
            <v>27</v>
          </cell>
          <cell r="C75">
            <v>13.5</v>
          </cell>
          <cell r="D75">
            <v>4.5</v>
          </cell>
          <cell r="E75">
            <v>5421902.9965888504</v>
          </cell>
        </row>
        <row r="76">
          <cell r="A76">
            <v>55</v>
          </cell>
          <cell r="B76">
            <v>27.5</v>
          </cell>
          <cell r="C76">
            <v>13.75</v>
          </cell>
          <cell r="D76">
            <v>4.583333333333333</v>
          </cell>
          <cell r="E76">
            <v>5338442.0447582705</v>
          </cell>
        </row>
        <row r="77">
          <cell r="A77">
            <v>56</v>
          </cell>
          <cell r="B77">
            <v>28</v>
          </cell>
          <cell r="C77">
            <v>14</v>
          </cell>
          <cell r="D77">
            <v>4.666666666666667</v>
          </cell>
          <cell r="E77">
            <v>5255025.4395699333</v>
          </cell>
        </row>
        <row r="78">
          <cell r="A78">
            <v>57</v>
          </cell>
          <cell r="B78">
            <v>28.5</v>
          </cell>
          <cell r="C78">
            <v>14.25</v>
          </cell>
          <cell r="D78">
            <v>4.75</v>
          </cell>
          <cell r="E78">
            <v>5171652.9904562179</v>
          </cell>
        </row>
        <row r="79">
          <cell r="A79">
            <v>58</v>
          </cell>
          <cell r="B79">
            <v>29</v>
          </cell>
          <cell r="C79">
            <v>14.5</v>
          </cell>
          <cell r="D79">
            <v>4.833333333333333</v>
          </cell>
          <cell r="E79">
            <v>5088324.5070170127</v>
          </cell>
        </row>
        <row r="80">
          <cell r="A80">
            <v>59</v>
          </cell>
          <cell r="B80">
            <v>29.5</v>
          </cell>
          <cell r="C80">
            <v>14.75</v>
          </cell>
          <cell r="D80">
            <v>4.916666666666667</v>
          </cell>
          <cell r="E80">
            <v>5005039.7990192538</v>
          </cell>
        </row>
        <row r="81">
          <cell r="A81">
            <v>60</v>
          </cell>
          <cell r="B81">
            <v>30</v>
          </cell>
          <cell r="C81">
            <v>15</v>
          </cell>
          <cell r="D81">
            <v>5</v>
          </cell>
          <cell r="E81">
            <v>4921798.6763964649</v>
          </cell>
        </row>
        <row r="82">
          <cell r="A82">
            <v>61</v>
          </cell>
          <cell r="B82">
            <v>30.5</v>
          </cell>
          <cell r="C82">
            <v>15.25</v>
          </cell>
          <cell r="D82">
            <v>5.083333333333333</v>
          </cell>
          <cell r="E82">
            <v>4838600.9492482971</v>
          </cell>
        </row>
        <row r="83">
          <cell r="A83">
            <v>62</v>
          </cell>
          <cell r="B83">
            <v>31</v>
          </cell>
          <cell r="C83">
            <v>15.5</v>
          </cell>
          <cell r="D83">
            <v>5.166666666666667</v>
          </cell>
          <cell r="E83">
            <v>4755446.4278400652</v>
          </cell>
        </row>
        <row r="84">
          <cell r="A84">
            <v>63</v>
          </cell>
          <cell r="B84">
            <v>31.5</v>
          </cell>
          <cell r="C84">
            <v>15.75</v>
          </cell>
          <cell r="D84">
            <v>5.25</v>
          </cell>
          <cell r="E84">
            <v>4672334.9226022949</v>
          </cell>
        </row>
        <row r="85">
          <cell r="A85">
            <v>64</v>
          </cell>
          <cell r="B85">
            <v>32</v>
          </cell>
          <cell r="C85">
            <v>16</v>
          </cell>
          <cell r="D85">
            <v>5.333333333333333</v>
          </cell>
          <cell r="E85">
            <v>4589266.2441302575</v>
          </cell>
        </row>
        <row r="86">
          <cell r="A86">
            <v>65</v>
          </cell>
          <cell r="B86">
            <v>32.5</v>
          </cell>
          <cell r="C86">
            <v>16.25</v>
          </cell>
          <cell r="D86">
            <v>5.416666666666667</v>
          </cell>
          <cell r="E86">
            <v>4506240.2031835169</v>
          </cell>
        </row>
        <row r="87">
          <cell r="A87">
            <v>66</v>
          </cell>
          <cell r="B87">
            <v>33</v>
          </cell>
          <cell r="C87">
            <v>16.5</v>
          </cell>
          <cell r="D87">
            <v>5.5</v>
          </cell>
          <cell r="E87">
            <v>4423256.6106854687</v>
          </cell>
        </row>
        <row r="88">
          <cell r="A88">
            <v>67</v>
          </cell>
          <cell r="B88">
            <v>33.5</v>
          </cell>
          <cell r="C88">
            <v>16.75</v>
          </cell>
          <cell r="D88">
            <v>5.583333333333333</v>
          </cell>
          <cell r="E88">
            <v>4340315.2777228849</v>
          </cell>
        </row>
        <row r="89">
          <cell r="A89">
            <v>68</v>
          </cell>
          <cell r="B89">
            <v>34</v>
          </cell>
          <cell r="C89">
            <v>17</v>
          </cell>
          <cell r="D89">
            <v>5.666666666666667</v>
          </cell>
          <cell r="E89">
            <v>4257416.0155454557</v>
          </cell>
        </row>
        <row r="90">
          <cell r="A90">
            <v>69</v>
          </cell>
          <cell r="B90">
            <v>34.5</v>
          </cell>
          <cell r="C90">
            <v>17.25</v>
          </cell>
          <cell r="D90">
            <v>5.75</v>
          </cell>
          <cell r="E90">
            <v>4174558.6355653345</v>
          </cell>
        </row>
        <row r="91">
          <cell r="A91">
            <v>70</v>
          </cell>
          <cell r="B91">
            <v>35</v>
          </cell>
          <cell r="C91">
            <v>17.5</v>
          </cell>
          <cell r="D91">
            <v>5.833333333333333</v>
          </cell>
          <cell r="E91">
            <v>4091742.9493566807</v>
          </cell>
        </row>
        <row r="92">
          <cell r="A92">
            <v>71</v>
          </cell>
          <cell r="B92">
            <v>35.5</v>
          </cell>
          <cell r="C92">
            <v>17.75</v>
          </cell>
          <cell r="D92">
            <v>5.916666666666667</v>
          </cell>
          <cell r="E92">
            <v>4008968.7686552065</v>
          </cell>
        </row>
        <row r="93">
          <cell r="A93">
            <v>72</v>
          </cell>
          <cell r="B93">
            <v>36</v>
          </cell>
          <cell r="C93">
            <v>18</v>
          </cell>
          <cell r="D93">
            <v>6</v>
          </cell>
          <cell r="E93">
            <v>3926235.9053577213</v>
          </cell>
        </row>
        <row r="94">
          <cell r="A94">
            <v>73</v>
          </cell>
          <cell r="B94">
            <v>36.5</v>
          </cell>
          <cell r="C94">
            <v>18.25</v>
          </cell>
          <cell r="D94">
            <v>6.083333333333333</v>
          </cell>
          <cell r="E94">
            <v>3843544.1715216776</v>
          </cell>
        </row>
        <row r="95">
          <cell r="A95">
            <v>74</v>
          </cell>
          <cell r="B95">
            <v>37</v>
          </cell>
          <cell r="C95">
            <v>18.5</v>
          </cell>
          <cell r="D95">
            <v>6.166666666666667</v>
          </cell>
          <cell r="E95">
            <v>3760893.3793647178</v>
          </cell>
        </row>
        <row r="96">
          <cell r="A96">
            <v>75</v>
          </cell>
          <cell r="B96">
            <v>37.5</v>
          </cell>
          <cell r="C96">
            <v>18.75</v>
          </cell>
          <cell r="D96">
            <v>6.25</v>
          </cell>
          <cell r="E96">
            <v>3678283.3412642204</v>
          </cell>
        </row>
        <row r="97">
          <cell r="A97">
            <v>76</v>
          </cell>
          <cell r="B97">
            <v>38</v>
          </cell>
          <cell r="C97">
            <v>19</v>
          </cell>
          <cell r="D97">
            <v>6.333333333333333</v>
          </cell>
          <cell r="E97">
            <v>3595713.8697568481</v>
          </cell>
        </row>
        <row r="98">
          <cell r="A98">
            <v>77</v>
          </cell>
          <cell r="B98">
            <v>38.5</v>
          </cell>
          <cell r="C98">
            <v>19.25</v>
          </cell>
          <cell r="D98">
            <v>6.416666666666667</v>
          </cell>
          <cell r="E98">
            <v>3513184.7775380961</v>
          </cell>
        </row>
        <row r="99">
          <cell r="A99">
            <v>78</v>
          </cell>
          <cell r="B99">
            <v>39</v>
          </cell>
          <cell r="C99">
            <v>19.5</v>
          </cell>
          <cell r="D99">
            <v>6.5</v>
          </cell>
          <cell r="E99">
            <v>3430695.8774618395</v>
          </cell>
        </row>
        <row r="100">
          <cell r="A100">
            <v>79</v>
          </cell>
          <cell r="B100">
            <v>39.5</v>
          </cell>
          <cell r="C100">
            <v>19.75</v>
          </cell>
          <cell r="D100">
            <v>6.583333333333333</v>
          </cell>
          <cell r="E100">
            <v>3348246.9825398829</v>
          </cell>
        </row>
        <row r="101">
          <cell r="A101">
            <v>80</v>
          </cell>
          <cell r="B101">
            <v>40</v>
          </cell>
          <cell r="C101">
            <v>20</v>
          </cell>
          <cell r="D101">
            <v>6.666666666666667</v>
          </cell>
          <cell r="E101">
            <v>3265837.9059415101</v>
          </cell>
        </row>
        <row r="102">
          <cell r="A102">
            <v>81</v>
          </cell>
          <cell r="B102">
            <v>40.5</v>
          </cell>
          <cell r="C102">
            <v>20.25</v>
          </cell>
          <cell r="D102">
            <v>6.75</v>
          </cell>
          <cell r="E102">
            <v>3183468.4609930334</v>
          </cell>
        </row>
        <row r="103">
          <cell r="A103">
            <v>82</v>
          </cell>
          <cell r="B103">
            <v>41</v>
          </cell>
          <cell r="C103">
            <v>20.5</v>
          </cell>
          <cell r="D103">
            <v>6.833333333333333</v>
          </cell>
          <cell r="E103">
            <v>3101138.4611773449</v>
          </cell>
        </row>
        <row r="104">
          <cell r="A104">
            <v>83</v>
          </cell>
          <cell r="B104">
            <v>41.5</v>
          </cell>
          <cell r="C104">
            <v>20.75</v>
          </cell>
          <cell r="D104">
            <v>6.916666666666667</v>
          </cell>
          <cell r="E104">
            <v>3018847.7201334671</v>
          </cell>
        </row>
        <row r="105">
          <cell r="A105">
            <v>84</v>
          </cell>
          <cell r="B105">
            <v>42</v>
          </cell>
          <cell r="C105">
            <v>21</v>
          </cell>
          <cell r="D105">
            <v>7</v>
          </cell>
          <cell r="E105">
            <v>2936596.0516561037</v>
          </cell>
        </row>
        <row r="106">
          <cell r="A106">
            <v>85</v>
          </cell>
          <cell r="B106">
            <v>42.5</v>
          </cell>
          <cell r="C106">
            <v>21.25</v>
          </cell>
          <cell r="D106">
            <v>7.083333333333333</v>
          </cell>
          <cell r="E106">
            <v>2854383.2696951935</v>
          </cell>
        </row>
        <row r="107">
          <cell r="A107">
            <v>86</v>
          </cell>
          <cell r="B107">
            <v>43</v>
          </cell>
          <cell r="C107">
            <v>21.5</v>
          </cell>
          <cell r="D107">
            <v>7.166666666666667</v>
          </cell>
          <cell r="E107">
            <v>2772209.1883554603</v>
          </cell>
        </row>
        <row r="108">
          <cell r="A108">
            <v>87</v>
          </cell>
          <cell r="B108">
            <v>43.5</v>
          </cell>
          <cell r="C108">
            <v>21.75</v>
          </cell>
          <cell r="D108">
            <v>7.25</v>
          </cell>
          <cell r="E108">
            <v>2690073.6218959684</v>
          </cell>
        </row>
        <row r="109">
          <cell r="A109">
            <v>88</v>
          </cell>
          <cell r="B109">
            <v>44</v>
          </cell>
          <cell r="C109">
            <v>22</v>
          </cell>
          <cell r="D109">
            <v>7.333333333333333</v>
          </cell>
          <cell r="E109">
            <v>2607976.384729675</v>
          </cell>
        </row>
        <row r="110">
          <cell r="A110">
            <v>89</v>
          </cell>
          <cell r="B110">
            <v>44.5</v>
          </cell>
          <cell r="C110">
            <v>22.25</v>
          </cell>
          <cell r="D110">
            <v>7.416666666666667</v>
          </cell>
          <cell r="E110">
            <v>2525917.2914229832</v>
          </cell>
        </row>
        <row r="111">
          <cell r="A111">
            <v>90</v>
          </cell>
          <cell r="B111">
            <v>45</v>
          </cell>
          <cell r="C111">
            <v>22.5</v>
          </cell>
          <cell r="D111">
            <v>7.5</v>
          </cell>
          <cell r="E111">
            <v>2443896.1566952989</v>
          </cell>
        </row>
        <row r="112">
          <cell r="A112">
            <v>91</v>
          </cell>
          <cell r="B112">
            <v>45.5</v>
          </cell>
          <cell r="C112">
            <v>22.75</v>
          </cell>
          <cell r="D112">
            <v>7.583333333333333</v>
          </cell>
          <cell r="E112">
            <v>2361912.7954185824</v>
          </cell>
        </row>
        <row r="113">
          <cell r="A113">
            <v>92</v>
          </cell>
          <cell r="B113">
            <v>46</v>
          </cell>
          <cell r="C113">
            <v>23</v>
          </cell>
          <cell r="D113">
            <v>7.666666666666667</v>
          </cell>
          <cell r="E113">
            <v>2279967.022616908</v>
          </cell>
        </row>
        <row r="114">
          <cell r="A114">
            <v>93</v>
          </cell>
          <cell r="B114">
            <v>46.5</v>
          </cell>
          <cell r="C114">
            <v>23.25</v>
          </cell>
          <cell r="D114">
            <v>7.75</v>
          </cell>
          <cell r="E114">
            <v>2198058.653466017</v>
          </cell>
        </row>
        <row r="115">
          <cell r="A115">
            <v>94</v>
          </cell>
          <cell r="B115">
            <v>47</v>
          </cell>
          <cell r="C115">
            <v>23.5</v>
          </cell>
          <cell r="D115">
            <v>7.833333333333333</v>
          </cell>
          <cell r="E115">
            <v>2116187.5032928744</v>
          </cell>
        </row>
        <row r="116">
          <cell r="A116">
            <v>95</v>
          </cell>
          <cell r="B116">
            <v>47.5</v>
          </cell>
          <cell r="C116">
            <v>23.75</v>
          </cell>
          <cell r="D116">
            <v>7.916666666666667</v>
          </cell>
          <cell r="E116">
            <v>2034353.3875752275</v>
          </cell>
        </row>
        <row r="117">
          <cell r="A117">
            <v>96</v>
          </cell>
          <cell r="B117">
            <v>48</v>
          </cell>
          <cell r="C117">
            <v>24</v>
          </cell>
          <cell r="D117">
            <v>8</v>
          </cell>
          <cell r="E117">
            <v>1952556.1219411616</v>
          </cell>
        </row>
        <row r="118">
          <cell r="A118">
            <v>97</v>
          </cell>
          <cell r="B118">
            <v>48.5</v>
          </cell>
          <cell r="C118">
            <v>24.25</v>
          </cell>
          <cell r="D118">
            <v>8.0833333333333339</v>
          </cell>
          <cell r="E118">
            <v>1870795.5221686587</v>
          </cell>
        </row>
        <row r="119">
          <cell r="A119">
            <v>98</v>
          </cell>
          <cell r="B119">
            <v>49</v>
          </cell>
          <cell r="C119">
            <v>24.5</v>
          </cell>
          <cell r="D119">
            <v>8.1666666666666661</v>
          </cell>
          <cell r="E119">
            <v>1789071.4041851561</v>
          </cell>
        </row>
        <row r="120">
          <cell r="A120">
            <v>99</v>
          </cell>
          <cell r="B120">
            <v>49.5</v>
          </cell>
          <cell r="C120">
            <v>24.75</v>
          </cell>
          <cell r="D120">
            <v>8.25</v>
          </cell>
          <cell r="E120">
            <v>1707383.5840671046</v>
          </cell>
        </row>
        <row r="121">
          <cell r="A121">
            <v>100</v>
          </cell>
          <cell r="B121">
            <v>50</v>
          </cell>
          <cell r="C121">
            <v>25</v>
          </cell>
          <cell r="D121">
            <v>8.3333333333333339</v>
          </cell>
          <cell r="E121">
            <v>1625731.8780395288</v>
          </cell>
        </row>
        <row r="122">
          <cell r="A122">
            <v>101</v>
          </cell>
          <cell r="B122">
            <v>50.5</v>
          </cell>
          <cell r="C122">
            <v>25.25</v>
          </cell>
          <cell r="D122">
            <v>8.4166666666666661</v>
          </cell>
          <cell r="E122">
            <v>1544116.1024755863</v>
          </cell>
        </row>
        <row r="123">
          <cell r="A123">
            <v>102</v>
          </cell>
          <cell r="B123">
            <v>51</v>
          </cell>
          <cell r="C123">
            <v>25.5</v>
          </cell>
          <cell r="D123">
            <v>8.5</v>
          </cell>
          <cell r="E123">
            <v>1462536.0738961287</v>
          </cell>
        </row>
        <row r="124">
          <cell r="A124">
            <v>103</v>
          </cell>
          <cell r="B124">
            <v>51.5</v>
          </cell>
          <cell r="C124">
            <v>25.75</v>
          </cell>
          <cell r="D124">
            <v>8.5833333333333339</v>
          </cell>
          <cell r="E124">
            <v>1380991.6089692614</v>
          </cell>
        </row>
        <row r="125">
          <cell r="A125">
            <v>104</v>
          </cell>
          <cell r="B125">
            <v>52</v>
          </cell>
          <cell r="C125">
            <v>26</v>
          </cell>
          <cell r="D125">
            <v>8.6666666666666661</v>
          </cell>
          <cell r="E125">
            <v>1299482.5245099058</v>
          </cell>
        </row>
        <row r="126">
          <cell r="A126">
            <v>105</v>
          </cell>
          <cell r="B126">
            <v>52.5</v>
          </cell>
          <cell r="C126">
            <v>26.25</v>
          </cell>
          <cell r="D126">
            <v>8.75</v>
          </cell>
          <cell r="E126">
            <v>1218008.6374793609</v>
          </cell>
        </row>
        <row r="127">
          <cell r="A127">
            <v>106</v>
          </cell>
          <cell r="B127">
            <v>53</v>
          </cell>
          <cell r="C127">
            <v>26.5</v>
          </cell>
          <cell r="D127">
            <v>8.8333333333333339</v>
          </cell>
          <cell r="E127">
            <v>1136569.7649848654</v>
          </cell>
        </row>
        <row r="128">
          <cell r="A128">
            <v>107</v>
          </cell>
          <cell r="B128">
            <v>53.5</v>
          </cell>
          <cell r="C128">
            <v>26.75</v>
          </cell>
          <cell r="D128">
            <v>8.9166666666666661</v>
          </cell>
          <cell r="E128">
            <v>1055165.7242791606</v>
          </cell>
        </row>
        <row r="129">
          <cell r="A129">
            <v>108</v>
          </cell>
          <cell r="B129">
            <v>54</v>
          </cell>
          <cell r="C129">
            <v>27</v>
          </cell>
          <cell r="D129">
            <v>9</v>
          </cell>
          <cell r="E129">
            <v>973796.33276005357</v>
          </cell>
        </row>
        <row r="130">
          <cell r="A130">
            <v>109</v>
          </cell>
          <cell r="B130">
            <v>54.5</v>
          </cell>
          <cell r="C130">
            <v>27.25</v>
          </cell>
          <cell r="D130">
            <v>9.0833333333333339</v>
          </cell>
          <cell r="E130">
            <v>892461.40796998097</v>
          </cell>
        </row>
        <row r="131">
          <cell r="A131">
            <v>110</v>
          </cell>
          <cell r="B131">
            <v>55</v>
          </cell>
          <cell r="C131">
            <v>27.5</v>
          </cell>
          <cell r="D131">
            <v>9.1666666666666661</v>
          </cell>
          <cell r="E131">
            <v>811160.76759557286</v>
          </cell>
        </row>
        <row r="132">
          <cell r="A132">
            <v>111</v>
          </cell>
          <cell r="B132">
            <v>55.5</v>
          </cell>
          <cell r="C132">
            <v>27.75</v>
          </cell>
          <cell r="D132">
            <v>9.25</v>
          </cell>
          <cell r="E132">
            <v>729894.22946721781</v>
          </cell>
        </row>
        <row r="133">
          <cell r="A133">
            <v>112</v>
          </cell>
          <cell r="B133">
            <v>56</v>
          </cell>
          <cell r="C133">
            <v>28</v>
          </cell>
          <cell r="D133">
            <v>9.3333333333333339</v>
          </cell>
          <cell r="E133">
            <v>648661.6115586278</v>
          </cell>
        </row>
        <row r="134">
          <cell r="A134">
            <v>113</v>
          </cell>
          <cell r="B134">
            <v>56.5</v>
          </cell>
          <cell r="C134">
            <v>28.25</v>
          </cell>
          <cell r="D134">
            <v>9.4166666666666661</v>
          </cell>
          <cell r="E134">
            <v>567462.73198640381</v>
          </cell>
        </row>
        <row r="135">
          <cell r="A135">
            <v>114</v>
          </cell>
          <cell r="B135">
            <v>57</v>
          </cell>
          <cell r="C135">
            <v>28.5</v>
          </cell>
          <cell r="D135">
            <v>9.5</v>
          </cell>
          <cell r="E135">
            <v>486297.40900960204</v>
          </cell>
        </row>
        <row r="136">
          <cell r="A136">
            <v>115</v>
          </cell>
          <cell r="B136">
            <v>57.5</v>
          </cell>
          <cell r="C136">
            <v>28.75</v>
          </cell>
          <cell r="D136">
            <v>9.5833333333333339</v>
          </cell>
          <cell r="E136">
            <v>405165.46102930006</v>
          </cell>
        </row>
        <row r="137">
          <cell r="A137">
            <v>116</v>
          </cell>
          <cell r="B137">
            <v>58</v>
          </cell>
          <cell r="C137">
            <v>29</v>
          </cell>
          <cell r="D137">
            <v>9.6666666666666661</v>
          </cell>
          <cell r="E137">
            <v>324066.7065881642</v>
          </cell>
        </row>
        <row r="138">
          <cell r="A138">
            <v>117</v>
          </cell>
          <cell r="B138">
            <v>58.5</v>
          </cell>
          <cell r="C138">
            <v>29.25</v>
          </cell>
          <cell r="D138">
            <v>9.75</v>
          </cell>
          <cell r="E138">
            <v>243000.96437001677</v>
          </cell>
        </row>
        <row r="139">
          <cell r="A139">
            <v>118</v>
          </cell>
          <cell r="B139">
            <v>59</v>
          </cell>
          <cell r="C139">
            <v>29.5</v>
          </cell>
          <cell r="D139">
            <v>9.8333333333333339</v>
          </cell>
          <cell r="E139">
            <v>161968.05319940418</v>
          </cell>
        </row>
        <row r="140">
          <cell r="A140">
            <v>119</v>
          </cell>
          <cell r="B140">
            <v>59.5</v>
          </cell>
          <cell r="C140">
            <v>29.75</v>
          </cell>
          <cell r="D140">
            <v>9.9166666666666661</v>
          </cell>
          <cell r="E140">
            <v>80967.792041165274</v>
          </cell>
        </row>
        <row r="141">
          <cell r="A141">
            <v>120</v>
          </cell>
          <cell r="B141">
            <v>60</v>
          </cell>
          <cell r="C141">
            <v>30</v>
          </cell>
          <cell r="D141">
            <v>10</v>
          </cell>
          <cell r="E141">
            <v>0</v>
          </cell>
        </row>
        <row r="142">
          <cell r="A142">
            <v>121</v>
          </cell>
          <cell r="B142">
            <v>60.5</v>
          </cell>
          <cell r="C142">
            <v>30.25</v>
          </cell>
          <cell r="D142">
            <v>10.083333333333334</v>
          </cell>
          <cell r="E142">
            <v>0</v>
          </cell>
        </row>
        <row r="143">
          <cell r="A143">
            <v>122</v>
          </cell>
          <cell r="B143">
            <v>61</v>
          </cell>
          <cell r="C143">
            <v>30.5</v>
          </cell>
          <cell r="D143">
            <v>10.166666666666666</v>
          </cell>
          <cell r="E143">
            <v>0</v>
          </cell>
        </row>
        <row r="144">
          <cell r="A144">
            <v>123</v>
          </cell>
          <cell r="B144">
            <v>61.5</v>
          </cell>
          <cell r="C144">
            <v>30.75</v>
          </cell>
          <cell r="D144">
            <v>10.25</v>
          </cell>
          <cell r="E144">
            <v>0</v>
          </cell>
        </row>
        <row r="145">
          <cell r="A145">
            <v>124</v>
          </cell>
          <cell r="B145">
            <v>62</v>
          </cell>
          <cell r="C145">
            <v>31</v>
          </cell>
          <cell r="D145">
            <v>10.333333333333334</v>
          </cell>
          <cell r="E145">
            <v>0</v>
          </cell>
        </row>
        <row r="146">
          <cell r="A146">
            <v>125</v>
          </cell>
          <cell r="B146">
            <v>62.5</v>
          </cell>
          <cell r="C146">
            <v>31.25</v>
          </cell>
          <cell r="D146">
            <v>10.416666666666666</v>
          </cell>
          <cell r="E146">
            <v>0</v>
          </cell>
        </row>
        <row r="147">
          <cell r="A147">
            <v>126</v>
          </cell>
          <cell r="B147">
            <v>63</v>
          </cell>
          <cell r="C147">
            <v>31.5</v>
          </cell>
          <cell r="D147">
            <v>10.5</v>
          </cell>
          <cell r="E147">
            <v>0</v>
          </cell>
        </row>
        <row r="148">
          <cell r="A148">
            <v>127</v>
          </cell>
          <cell r="B148">
            <v>63.5</v>
          </cell>
          <cell r="C148">
            <v>31.75</v>
          </cell>
          <cell r="D148">
            <v>10.583333333333334</v>
          </cell>
          <cell r="E148">
            <v>0</v>
          </cell>
        </row>
        <row r="149">
          <cell r="A149">
            <v>128</v>
          </cell>
          <cell r="B149">
            <v>64</v>
          </cell>
          <cell r="C149">
            <v>32</v>
          </cell>
          <cell r="D149">
            <v>10.666666666666666</v>
          </cell>
          <cell r="E149">
            <v>0</v>
          </cell>
        </row>
        <row r="150">
          <cell r="A150">
            <v>129</v>
          </cell>
          <cell r="B150">
            <v>64.5</v>
          </cell>
          <cell r="C150">
            <v>32.25</v>
          </cell>
          <cell r="D150">
            <v>10.75</v>
          </cell>
          <cell r="E150">
            <v>0</v>
          </cell>
        </row>
        <row r="151">
          <cell r="A151">
            <v>130</v>
          </cell>
          <cell r="B151">
            <v>65</v>
          </cell>
          <cell r="C151">
            <v>32.5</v>
          </cell>
          <cell r="D151">
            <v>10.833333333333334</v>
          </cell>
          <cell r="E151">
            <v>0</v>
          </cell>
        </row>
        <row r="152">
          <cell r="A152">
            <v>131</v>
          </cell>
          <cell r="B152">
            <v>65.5</v>
          </cell>
          <cell r="C152">
            <v>32.75</v>
          </cell>
          <cell r="D152">
            <v>10.916666666666666</v>
          </cell>
          <cell r="E152">
            <v>0</v>
          </cell>
        </row>
        <row r="153">
          <cell r="A153">
            <v>132</v>
          </cell>
          <cell r="B153">
            <v>66</v>
          </cell>
          <cell r="C153">
            <v>33</v>
          </cell>
          <cell r="D153">
            <v>11</v>
          </cell>
          <cell r="E153">
            <v>0</v>
          </cell>
        </row>
        <row r="154">
          <cell r="A154">
            <v>133</v>
          </cell>
          <cell r="B154">
            <v>66.5</v>
          </cell>
          <cell r="C154">
            <v>33.25</v>
          </cell>
          <cell r="D154">
            <v>11.083333333333334</v>
          </cell>
          <cell r="E154">
            <v>0</v>
          </cell>
        </row>
        <row r="155">
          <cell r="A155">
            <v>134</v>
          </cell>
          <cell r="B155">
            <v>67</v>
          </cell>
          <cell r="C155">
            <v>33.5</v>
          </cell>
          <cell r="D155">
            <v>11.166666666666666</v>
          </cell>
          <cell r="E155">
            <v>0</v>
          </cell>
        </row>
        <row r="156">
          <cell r="A156">
            <v>135</v>
          </cell>
          <cell r="B156">
            <v>67.5</v>
          </cell>
          <cell r="C156">
            <v>33.75</v>
          </cell>
          <cell r="D156">
            <v>11.25</v>
          </cell>
          <cell r="E156">
            <v>0</v>
          </cell>
        </row>
        <row r="157">
          <cell r="A157">
            <v>136</v>
          </cell>
          <cell r="B157">
            <v>68</v>
          </cell>
          <cell r="C157">
            <v>34</v>
          </cell>
          <cell r="D157">
            <v>11.333333333333334</v>
          </cell>
          <cell r="E157">
            <v>0</v>
          </cell>
        </row>
        <row r="158">
          <cell r="A158">
            <v>137</v>
          </cell>
          <cell r="B158">
            <v>68.5</v>
          </cell>
          <cell r="C158">
            <v>34.25</v>
          </cell>
          <cell r="D158">
            <v>11.416666666666666</v>
          </cell>
          <cell r="E158">
            <v>0</v>
          </cell>
        </row>
        <row r="159">
          <cell r="A159">
            <v>138</v>
          </cell>
          <cell r="B159">
            <v>69</v>
          </cell>
          <cell r="C159">
            <v>34.5</v>
          </cell>
          <cell r="D159">
            <v>11.5</v>
          </cell>
          <cell r="E159">
            <v>0</v>
          </cell>
        </row>
        <row r="160">
          <cell r="A160">
            <v>139</v>
          </cell>
          <cell r="B160">
            <v>69.5</v>
          </cell>
          <cell r="C160">
            <v>34.75</v>
          </cell>
          <cell r="D160">
            <v>11.583333333333334</v>
          </cell>
          <cell r="E160">
            <v>0</v>
          </cell>
        </row>
        <row r="161">
          <cell r="A161">
            <v>140</v>
          </cell>
          <cell r="B161">
            <v>70</v>
          </cell>
          <cell r="C161">
            <v>35</v>
          </cell>
          <cell r="D161">
            <v>11.666666666666666</v>
          </cell>
          <cell r="E161">
            <v>0</v>
          </cell>
        </row>
        <row r="162">
          <cell r="A162">
            <v>141</v>
          </cell>
          <cell r="B162">
            <v>70.5</v>
          </cell>
          <cell r="C162">
            <v>35.25</v>
          </cell>
          <cell r="D162">
            <v>11.75</v>
          </cell>
          <cell r="E162">
            <v>0</v>
          </cell>
        </row>
        <row r="163">
          <cell r="A163">
            <v>142</v>
          </cell>
          <cell r="B163">
            <v>71</v>
          </cell>
          <cell r="C163">
            <v>35.5</v>
          </cell>
          <cell r="D163">
            <v>11.833333333333334</v>
          </cell>
          <cell r="E163">
            <v>0</v>
          </cell>
        </row>
        <row r="164">
          <cell r="A164">
            <v>143</v>
          </cell>
          <cell r="B164">
            <v>71.5</v>
          </cell>
          <cell r="C164">
            <v>35.75</v>
          </cell>
          <cell r="D164">
            <v>11.916666666666666</v>
          </cell>
          <cell r="E164">
            <v>0</v>
          </cell>
        </row>
        <row r="165">
          <cell r="A165">
            <v>144</v>
          </cell>
          <cell r="B165">
            <v>72</v>
          </cell>
          <cell r="C165">
            <v>36</v>
          </cell>
          <cell r="D165">
            <v>12</v>
          </cell>
          <cell r="E165">
            <v>0</v>
          </cell>
        </row>
        <row r="166">
          <cell r="A166">
            <v>145</v>
          </cell>
          <cell r="B166">
            <v>72.5</v>
          </cell>
          <cell r="C166">
            <v>36.25</v>
          </cell>
          <cell r="D166">
            <v>12.083333333333334</v>
          </cell>
          <cell r="E166">
            <v>0</v>
          </cell>
        </row>
        <row r="167">
          <cell r="A167">
            <v>146</v>
          </cell>
          <cell r="B167">
            <v>73</v>
          </cell>
          <cell r="C167">
            <v>36.5</v>
          </cell>
          <cell r="D167">
            <v>12.166666666666666</v>
          </cell>
          <cell r="E167">
            <v>0</v>
          </cell>
        </row>
        <row r="168">
          <cell r="A168">
            <v>147</v>
          </cell>
          <cell r="B168">
            <v>73.5</v>
          </cell>
          <cell r="C168">
            <v>36.75</v>
          </cell>
          <cell r="D168">
            <v>12.25</v>
          </cell>
          <cell r="E168">
            <v>0</v>
          </cell>
        </row>
        <row r="169">
          <cell r="A169">
            <v>148</v>
          </cell>
          <cell r="B169">
            <v>74</v>
          </cell>
          <cell r="C169">
            <v>37</v>
          </cell>
          <cell r="D169">
            <v>12.333333333333334</v>
          </cell>
          <cell r="E169">
            <v>0</v>
          </cell>
        </row>
        <row r="170">
          <cell r="A170">
            <v>149</v>
          </cell>
          <cell r="B170">
            <v>74.5</v>
          </cell>
          <cell r="C170">
            <v>37.25</v>
          </cell>
          <cell r="D170">
            <v>12.416666666666666</v>
          </cell>
          <cell r="E170">
            <v>0</v>
          </cell>
        </row>
        <row r="171">
          <cell r="A171">
            <v>150</v>
          </cell>
          <cell r="B171">
            <v>75</v>
          </cell>
          <cell r="C171">
            <v>37.5</v>
          </cell>
          <cell r="D171">
            <v>12.5</v>
          </cell>
          <cell r="E171">
            <v>0</v>
          </cell>
        </row>
        <row r="172">
          <cell r="A172">
            <v>151</v>
          </cell>
          <cell r="B172">
            <v>75.5</v>
          </cell>
          <cell r="C172">
            <v>37.75</v>
          </cell>
          <cell r="D172">
            <v>12.583333333333334</v>
          </cell>
          <cell r="E172">
            <v>0</v>
          </cell>
        </row>
        <row r="173">
          <cell r="A173">
            <v>152</v>
          </cell>
          <cell r="B173">
            <v>76</v>
          </cell>
          <cell r="C173">
            <v>38</v>
          </cell>
          <cell r="D173">
            <v>12.666666666666666</v>
          </cell>
          <cell r="E173">
            <v>0</v>
          </cell>
        </row>
        <row r="174">
          <cell r="A174">
            <v>153</v>
          </cell>
          <cell r="B174">
            <v>76.5</v>
          </cell>
          <cell r="C174">
            <v>38.25</v>
          </cell>
          <cell r="D174">
            <v>12.75</v>
          </cell>
          <cell r="E174">
            <v>0</v>
          </cell>
        </row>
        <row r="175">
          <cell r="A175">
            <v>154</v>
          </cell>
          <cell r="B175">
            <v>77</v>
          </cell>
          <cell r="C175">
            <v>38.5</v>
          </cell>
          <cell r="D175">
            <v>12.833333333333334</v>
          </cell>
          <cell r="E175">
            <v>0</v>
          </cell>
        </row>
        <row r="176">
          <cell r="A176">
            <v>155</v>
          </cell>
          <cell r="B176">
            <v>77.5</v>
          </cell>
          <cell r="C176">
            <v>38.75</v>
          </cell>
          <cell r="D176">
            <v>12.916666666666666</v>
          </cell>
          <cell r="E176">
            <v>0</v>
          </cell>
        </row>
        <row r="177">
          <cell r="A177">
            <v>156</v>
          </cell>
          <cell r="B177">
            <v>78</v>
          </cell>
          <cell r="C177">
            <v>39</v>
          </cell>
          <cell r="D177">
            <v>13</v>
          </cell>
          <cell r="E177">
            <v>0</v>
          </cell>
        </row>
        <row r="178">
          <cell r="A178">
            <v>157</v>
          </cell>
          <cell r="B178">
            <v>78.5</v>
          </cell>
          <cell r="C178">
            <v>39.25</v>
          </cell>
          <cell r="D178">
            <v>13.083333333333334</v>
          </cell>
          <cell r="E178">
            <v>0</v>
          </cell>
        </row>
        <row r="179">
          <cell r="A179">
            <v>158</v>
          </cell>
          <cell r="B179">
            <v>79</v>
          </cell>
          <cell r="C179">
            <v>39.5</v>
          </cell>
          <cell r="D179">
            <v>13.166666666666666</v>
          </cell>
          <cell r="E179">
            <v>0</v>
          </cell>
        </row>
        <row r="180">
          <cell r="A180">
            <v>159</v>
          </cell>
          <cell r="B180">
            <v>79.5</v>
          </cell>
          <cell r="C180">
            <v>39.75</v>
          </cell>
          <cell r="D180">
            <v>13.25</v>
          </cell>
          <cell r="E180">
            <v>0</v>
          </cell>
        </row>
        <row r="181">
          <cell r="A181">
            <v>160</v>
          </cell>
          <cell r="B181">
            <v>80</v>
          </cell>
          <cell r="C181">
            <v>40</v>
          </cell>
          <cell r="D181">
            <v>13.333333333333334</v>
          </cell>
          <cell r="E181">
            <v>0</v>
          </cell>
        </row>
        <row r="182">
          <cell r="A182">
            <v>161</v>
          </cell>
          <cell r="B182">
            <v>80.5</v>
          </cell>
          <cell r="C182">
            <v>40.25</v>
          </cell>
          <cell r="D182">
            <v>13.416666666666666</v>
          </cell>
          <cell r="E182">
            <v>0</v>
          </cell>
        </row>
        <row r="183">
          <cell r="A183">
            <v>162</v>
          </cell>
          <cell r="B183">
            <v>81</v>
          </cell>
          <cell r="C183">
            <v>40.5</v>
          </cell>
          <cell r="D183">
            <v>13.5</v>
          </cell>
          <cell r="E183">
            <v>0</v>
          </cell>
        </row>
        <row r="184">
          <cell r="A184">
            <v>163</v>
          </cell>
          <cell r="B184">
            <v>81.5</v>
          </cell>
          <cell r="C184">
            <v>40.75</v>
          </cell>
          <cell r="D184">
            <v>13.583333333333334</v>
          </cell>
          <cell r="E184">
            <v>0</v>
          </cell>
        </row>
        <row r="185">
          <cell r="A185">
            <v>164</v>
          </cell>
          <cell r="B185">
            <v>82</v>
          </cell>
          <cell r="C185">
            <v>41</v>
          </cell>
          <cell r="D185">
            <v>13.666666666666666</v>
          </cell>
          <cell r="E185">
            <v>0</v>
          </cell>
        </row>
        <row r="186">
          <cell r="A186">
            <v>165</v>
          </cell>
          <cell r="B186">
            <v>82.5</v>
          </cell>
          <cell r="C186">
            <v>41.25</v>
          </cell>
          <cell r="D186">
            <v>13.75</v>
          </cell>
          <cell r="E186">
            <v>0</v>
          </cell>
        </row>
        <row r="187">
          <cell r="A187">
            <v>166</v>
          </cell>
          <cell r="B187">
            <v>83</v>
          </cell>
          <cell r="C187">
            <v>41.5</v>
          </cell>
          <cell r="D187">
            <v>13.833333333333334</v>
          </cell>
          <cell r="E187">
            <v>0</v>
          </cell>
        </row>
        <row r="188">
          <cell r="A188">
            <v>167</v>
          </cell>
          <cell r="B188">
            <v>83.5</v>
          </cell>
          <cell r="C188">
            <v>41.75</v>
          </cell>
          <cell r="D188">
            <v>13.916666666666666</v>
          </cell>
          <cell r="E188">
            <v>0</v>
          </cell>
        </row>
        <row r="189">
          <cell r="A189">
            <v>168</v>
          </cell>
          <cell r="B189">
            <v>84</v>
          </cell>
          <cell r="C189">
            <v>42</v>
          </cell>
          <cell r="D189">
            <v>14</v>
          </cell>
          <cell r="E189">
            <v>0</v>
          </cell>
        </row>
        <row r="190">
          <cell r="A190">
            <v>169</v>
          </cell>
          <cell r="B190">
            <v>84.5</v>
          </cell>
          <cell r="C190">
            <v>42.25</v>
          </cell>
          <cell r="D190">
            <v>14.083333333333334</v>
          </cell>
          <cell r="E190">
            <v>0</v>
          </cell>
        </row>
        <row r="191">
          <cell r="A191">
            <v>170</v>
          </cell>
          <cell r="B191">
            <v>85</v>
          </cell>
          <cell r="C191">
            <v>42.5</v>
          </cell>
          <cell r="D191">
            <v>14.166666666666666</v>
          </cell>
          <cell r="E191">
            <v>0</v>
          </cell>
        </row>
        <row r="192">
          <cell r="A192">
            <v>171</v>
          </cell>
          <cell r="B192">
            <v>85.5</v>
          </cell>
          <cell r="C192">
            <v>42.75</v>
          </cell>
          <cell r="D192">
            <v>14.25</v>
          </cell>
          <cell r="E192">
            <v>0</v>
          </cell>
        </row>
        <row r="193">
          <cell r="A193">
            <v>172</v>
          </cell>
          <cell r="B193">
            <v>86</v>
          </cell>
          <cell r="C193">
            <v>43</v>
          </cell>
          <cell r="D193">
            <v>14.333333333333334</v>
          </cell>
          <cell r="E193">
            <v>0</v>
          </cell>
        </row>
        <row r="194">
          <cell r="A194">
            <v>173</v>
          </cell>
          <cell r="B194">
            <v>86.5</v>
          </cell>
          <cell r="C194">
            <v>43.25</v>
          </cell>
          <cell r="D194">
            <v>14.416666666666666</v>
          </cell>
          <cell r="E194">
            <v>0</v>
          </cell>
        </row>
        <row r="195">
          <cell r="A195">
            <v>174</v>
          </cell>
          <cell r="B195">
            <v>87</v>
          </cell>
          <cell r="C195">
            <v>43.5</v>
          </cell>
          <cell r="D195">
            <v>14.5</v>
          </cell>
          <cell r="E195">
            <v>0</v>
          </cell>
        </row>
        <row r="196">
          <cell r="A196">
            <v>175</v>
          </cell>
          <cell r="B196">
            <v>87.5</v>
          </cell>
          <cell r="C196">
            <v>43.75</v>
          </cell>
          <cell r="D196">
            <v>14.583333333333334</v>
          </cell>
          <cell r="E196">
            <v>0</v>
          </cell>
        </row>
        <row r="197">
          <cell r="A197">
            <v>176</v>
          </cell>
          <cell r="B197">
            <v>88</v>
          </cell>
          <cell r="C197">
            <v>44</v>
          </cell>
          <cell r="D197">
            <v>14.666666666666666</v>
          </cell>
          <cell r="E197">
            <v>0</v>
          </cell>
        </row>
        <row r="198">
          <cell r="A198">
            <v>177</v>
          </cell>
          <cell r="B198">
            <v>88.5</v>
          </cell>
          <cell r="C198">
            <v>44.25</v>
          </cell>
          <cell r="D198">
            <v>14.75</v>
          </cell>
          <cell r="E198">
            <v>0</v>
          </cell>
        </row>
        <row r="199">
          <cell r="A199">
            <v>178</v>
          </cell>
          <cell r="B199">
            <v>89</v>
          </cell>
          <cell r="C199">
            <v>44.5</v>
          </cell>
          <cell r="D199">
            <v>14.833333333333334</v>
          </cell>
          <cell r="E199">
            <v>0</v>
          </cell>
        </row>
        <row r="200">
          <cell r="A200">
            <v>179</v>
          </cell>
          <cell r="B200">
            <v>89.5</v>
          </cell>
          <cell r="C200">
            <v>44.75</v>
          </cell>
          <cell r="D200">
            <v>14.916666666666666</v>
          </cell>
          <cell r="E200">
            <v>0</v>
          </cell>
        </row>
        <row r="201">
          <cell r="A201">
            <v>180</v>
          </cell>
          <cell r="B201">
            <v>90</v>
          </cell>
          <cell r="C201">
            <v>45</v>
          </cell>
          <cell r="D201">
            <v>15</v>
          </cell>
          <cell r="E201">
            <v>0</v>
          </cell>
        </row>
        <row r="202">
          <cell r="A202">
            <v>181</v>
          </cell>
          <cell r="B202">
            <v>90.5</v>
          </cell>
          <cell r="C202">
            <v>45.25</v>
          </cell>
          <cell r="D202">
            <v>15.083333333333334</v>
          </cell>
          <cell r="E202">
            <v>0</v>
          </cell>
        </row>
        <row r="203">
          <cell r="A203">
            <v>182</v>
          </cell>
          <cell r="B203">
            <v>91</v>
          </cell>
          <cell r="C203">
            <v>45.5</v>
          </cell>
          <cell r="D203">
            <v>15.166666666666666</v>
          </cell>
          <cell r="E203">
            <v>0</v>
          </cell>
        </row>
        <row r="204">
          <cell r="A204">
            <v>183</v>
          </cell>
          <cell r="B204">
            <v>91.5</v>
          </cell>
          <cell r="C204">
            <v>45.75</v>
          </cell>
          <cell r="D204">
            <v>15.25</v>
          </cell>
          <cell r="E204">
            <v>0</v>
          </cell>
        </row>
        <row r="205">
          <cell r="A205">
            <v>184</v>
          </cell>
          <cell r="B205">
            <v>92</v>
          </cell>
          <cell r="C205">
            <v>46</v>
          </cell>
          <cell r="D205">
            <v>15.333333333333334</v>
          </cell>
          <cell r="E205">
            <v>0</v>
          </cell>
        </row>
        <row r="206">
          <cell r="A206">
            <v>185</v>
          </cell>
          <cell r="B206">
            <v>92.5</v>
          </cell>
          <cell r="C206">
            <v>46.25</v>
          </cell>
          <cell r="D206">
            <v>15.416666666666666</v>
          </cell>
          <cell r="E206">
            <v>0</v>
          </cell>
        </row>
        <row r="207">
          <cell r="A207">
            <v>186</v>
          </cell>
          <cell r="B207">
            <v>93</v>
          </cell>
          <cell r="C207">
            <v>46.5</v>
          </cell>
          <cell r="D207">
            <v>15.5</v>
          </cell>
          <cell r="E207">
            <v>0</v>
          </cell>
        </row>
        <row r="208">
          <cell r="A208">
            <v>187</v>
          </cell>
          <cell r="B208">
            <v>93.5</v>
          </cell>
          <cell r="C208">
            <v>46.75</v>
          </cell>
          <cell r="D208">
            <v>15.583333333333334</v>
          </cell>
          <cell r="E208">
            <v>0</v>
          </cell>
        </row>
        <row r="209">
          <cell r="A209">
            <v>188</v>
          </cell>
          <cell r="B209">
            <v>94</v>
          </cell>
          <cell r="C209">
            <v>47</v>
          </cell>
          <cell r="D209">
            <v>15.666666666666666</v>
          </cell>
          <cell r="E209">
            <v>0</v>
          </cell>
        </row>
        <row r="210">
          <cell r="A210">
            <v>189</v>
          </cell>
          <cell r="B210">
            <v>94.5</v>
          </cell>
          <cell r="C210">
            <v>47.25</v>
          </cell>
          <cell r="D210">
            <v>15.75</v>
          </cell>
          <cell r="E210">
            <v>0</v>
          </cell>
        </row>
        <row r="211">
          <cell r="A211">
            <v>190</v>
          </cell>
          <cell r="B211">
            <v>95</v>
          </cell>
          <cell r="C211">
            <v>47.5</v>
          </cell>
          <cell r="D211">
            <v>15.833333333333334</v>
          </cell>
          <cell r="E211">
            <v>0</v>
          </cell>
        </row>
        <row r="212">
          <cell r="A212">
            <v>191</v>
          </cell>
          <cell r="B212">
            <v>95.5</v>
          </cell>
          <cell r="C212">
            <v>47.75</v>
          </cell>
          <cell r="D212">
            <v>15.916666666666666</v>
          </cell>
          <cell r="E212">
            <v>0</v>
          </cell>
        </row>
        <row r="213">
          <cell r="A213">
            <v>192</v>
          </cell>
          <cell r="B213">
            <v>96</v>
          </cell>
          <cell r="C213">
            <v>48</v>
          </cell>
          <cell r="D213">
            <v>16</v>
          </cell>
          <cell r="E213">
            <v>0</v>
          </cell>
        </row>
        <row r="214">
          <cell r="A214">
            <v>193</v>
          </cell>
          <cell r="B214">
            <v>96.5</v>
          </cell>
          <cell r="C214">
            <v>48.25</v>
          </cell>
          <cell r="D214">
            <v>16.083333333333332</v>
          </cell>
          <cell r="E214">
            <v>0</v>
          </cell>
        </row>
        <row r="215">
          <cell r="A215">
            <v>194</v>
          </cell>
          <cell r="B215">
            <v>97</v>
          </cell>
          <cell r="C215">
            <v>48.5</v>
          </cell>
          <cell r="D215">
            <v>16.166666666666668</v>
          </cell>
          <cell r="E215">
            <v>0</v>
          </cell>
        </row>
        <row r="216">
          <cell r="A216">
            <v>195</v>
          </cell>
          <cell r="B216">
            <v>97.5</v>
          </cell>
          <cell r="C216">
            <v>48.75</v>
          </cell>
          <cell r="D216">
            <v>16.25</v>
          </cell>
          <cell r="E216">
            <v>0</v>
          </cell>
        </row>
        <row r="217">
          <cell r="A217">
            <v>196</v>
          </cell>
          <cell r="B217">
            <v>98</v>
          </cell>
          <cell r="C217">
            <v>49</v>
          </cell>
          <cell r="D217">
            <v>16.333333333333332</v>
          </cell>
          <cell r="E217">
            <v>0</v>
          </cell>
        </row>
        <row r="218">
          <cell r="A218">
            <v>197</v>
          </cell>
          <cell r="B218">
            <v>98.5</v>
          </cell>
          <cell r="C218">
            <v>49.25</v>
          </cell>
          <cell r="D218">
            <v>16.416666666666668</v>
          </cell>
          <cell r="E218">
            <v>0</v>
          </cell>
        </row>
        <row r="219">
          <cell r="A219">
            <v>198</v>
          </cell>
          <cell r="B219">
            <v>99</v>
          </cell>
          <cell r="C219">
            <v>49.5</v>
          </cell>
          <cell r="D219">
            <v>16.5</v>
          </cell>
          <cell r="E219">
            <v>0</v>
          </cell>
        </row>
        <row r="220">
          <cell r="A220">
            <v>199</v>
          </cell>
          <cell r="B220">
            <v>99.5</v>
          </cell>
          <cell r="C220">
            <v>49.75</v>
          </cell>
          <cell r="D220">
            <v>16.583333333333332</v>
          </cell>
          <cell r="E220">
            <v>0</v>
          </cell>
        </row>
        <row r="221">
          <cell r="A221">
            <v>200</v>
          </cell>
          <cell r="B221">
            <v>100</v>
          </cell>
          <cell r="C221">
            <v>50</v>
          </cell>
          <cell r="D221">
            <v>16.666666666666668</v>
          </cell>
          <cell r="E221">
            <v>0</v>
          </cell>
        </row>
        <row r="222">
          <cell r="A222">
            <v>201</v>
          </cell>
          <cell r="B222">
            <v>100.5</v>
          </cell>
          <cell r="C222">
            <v>50.25</v>
          </cell>
          <cell r="D222">
            <v>16.75</v>
          </cell>
          <cell r="E222">
            <v>0</v>
          </cell>
        </row>
        <row r="223">
          <cell r="A223">
            <v>202</v>
          </cell>
          <cell r="B223">
            <v>101</v>
          </cell>
          <cell r="C223">
            <v>50.5</v>
          </cell>
          <cell r="D223">
            <v>16.833333333333332</v>
          </cell>
          <cell r="E223">
            <v>0</v>
          </cell>
        </row>
        <row r="224">
          <cell r="A224">
            <v>203</v>
          </cell>
          <cell r="B224">
            <v>101.5</v>
          </cell>
          <cell r="C224">
            <v>50.75</v>
          </cell>
          <cell r="D224">
            <v>16.916666666666668</v>
          </cell>
          <cell r="E224">
            <v>0</v>
          </cell>
        </row>
        <row r="225">
          <cell r="A225">
            <v>204</v>
          </cell>
          <cell r="B225">
            <v>102</v>
          </cell>
          <cell r="C225">
            <v>51</v>
          </cell>
          <cell r="D225">
            <v>17</v>
          </cell>
          <cell r="E225">
            <v>0</v>
          </cell>
        </row>
        <row r="226">
          <cell r="A226">
            <v>205</v>
          </cell>
          <cell r="B226">
            <v>102.5</v>
          </cell>
          <cell r="C226">
            <v>51.25</v>
          </cell>
          <cell r="D226">
            <v>17.083333333333332</v>
          </cell>
          <cell r="E226">
            <v>0</v>
          </cell>
        </row>
        <row r="227">
          <cell r="A227">
            <v>206</v>
          </cell>
          <cell r="B227">
            <v>103</v>
          </cell>
          <cell r="C227">
            <v>51.5</v>
          </cell>
          <cell r="D227">
            <v>17.166666666666668</v>
          </cell>
          <cell r="E227">
            <v>0</v>
          </cell>
        </row>
        <row r="228">
          <cell r="A228">
            <v>207</v>
          </cell>
          <cell r="B228">
            <v>103.5</v>
          </cell>
          <cell r="C228">
            <v>51.75</v>
          </cell>
          <cell r="D228">
            <v>17.25</v>
          </cell>
          <cell r="E228">
            <v>0</v>
          </cell>
        </row>
        <row r="229">
          <cell r="A229">
            <v>208</v>
          </cell>
          <cell r="B229">
            <v>104</v>
          </cell>
          <cell r="C229">
            <v>52</v>
          </cell>
          <cell r="D229">
            <v>17.333333333333332</v>
          </cell>
          <cell r="E229">
            <v>0</v>
          </cell>
        </row>
        <row r="230">
          <cell r="A230">
            <v>209</v>
          </cell>
          <cell r="B230">
            <v>104.5</v>
          </cell>
          <cell r="C230">
            <v>52.25</v>
          </cell>
          <cell r="D230">
            <v>17.416666666666668</v>
          </cell>
          <cell r="E230">
            <v>0</v>
          </cell>
        </row>
        <row r="231">
          <cell r="A231">
            <v>210</v>
          </cell>
          <cell r="B231">
            <v>105</v>
          </cell>
          <cell r="C231">
            <v>52.5</v>
          </cell>
          <cell r="D231">
            <v>17.5</v>
          </cell>
          <cell r="E231">
            <v>0</v>
          </cell>
        </row>
        <row r="232">
          <cell r="A232">
            <v>211</v>
          </cell>
          <cell r="B232">
            <v>105.5</v>
          </cell>
          <cell r="C232">
            <v>52.75</v>
          </cell>
          <cell r="D232">
            <v>17.583333333333332</v>
          </cell>
          <cell r="E232">
            <v>0</v>
          </cell>
        </row>
        <row r="233">
          <cell r="A233">
            <v>212</v>
          </cell>
          <cell r="B233">
            <v>106</v>
          </cell>
          <cell r="C233">
            <v>53</v>
          </cell>
          <cell r="D233">
            <v>17.666666666666668</v>
          </cell>
          <cell r="E233">
            <v>0</v>
          </cell>
        </row>
        <row r="234">
          <cell r="A234">
            <v>213</v>
          </cell>
          <cell r="B234">
            <v>106.5</v>
          </cell>
          <cell r="C234">
            <v>53.25</v>
          </cell>
          <cell r="D234">
            <v>17.75</v>
          </cell>
          <cell r="E234">
            <v>0</v>
          </cell>
        </row>
        <row r="235">
          <cell r="A235">
            <v>214</v>
          </cell>
          <cell r="B235">
            <v>107</v>
          </cell>
          <cell r="C235">
            <v>53.5</v>
          </cell>
          <cell r="D235">
            <v>17.833333333333332</v>
          </cell>
          <cell r="E235">
            <v>0</v>
          </cell>
        </row>
        <row r="236">
          <cell r="A236">
            <v>215</v>
          </cell>
          <cell r="B236">
            <v>107.5</v>
          </cell>
          <cell r="C236">
            <v>53.75</v>
          </cell>
          <cell r="D236">
            <v>17.916666666666668</v>
          </cell>
          <cell r="E236">
            <v>0</v>
          </cell>
        </row>
        <row r="237">
          <cell r="A237">
            <v>216</v>
          </cell>
          <cell r="B237">
            <v>108</v>
          </cell>
          <cell r="C237">
            <v>54</v>
          </cell>
          <cell r="D237">
            <v>18</v>
          </cell>
          <cell r="E237">
            <v>0</v>
          </cell>
        </row>
        <row r="238">
          <cell r="A238">
            <v>217</v>
          </cell>
          <cell r="B238">
            <v>108.5</v>
          </cell>
          <cell r="C238">
            <v>54.25</v>
          </cell>
          <cell r="D238">
            <v>18.083333333333332</v>
          </cell>
          <cell r="E238">
            <v>0</v>
          </cell>
        </row>
        <row r="239">
          <cell r="A239">
            <v>218</v>
          </cell>
          <cell r="B239">
            <v>109</v>
          </cell>
          <cell r="C239">
            <v>54.5</v>
          </cell>
          <cell r="D239">
            <v>18.166666666666668</v>
          </cell>
          <cell r="E239">
            <v>0</v>
          </cell>
        </row>
        <row r="240">
          <cell r="A240">
            <v>219</v>
          </cell>
          <cell r="B240">
            <v>109.5</v>
          </cell>
          <cell r="C240">
            <v>54.75</v>
          </cell>
          <cell r="D240">
            <v>18.25</v>
          </cell>
          <cell r="E240">
            <v>0</v>
          </cell>
        </row>
        <row r="241">
          <cell r="A241">
            <v>220</v>
          </cell>
          <cell r="B241">
            <v>110</v>
          </cell>
          <cell r="C241">
            <v>55</v>
          </cell>
          <cell r="D241">
            <v>18.333333333333332</v>
          </cell>
          <cell r="E241">
            <v>0</v>
          </cell>
        </row>
        <row r="242">
          <cell r="A242">
            <v>221</v>
          </cell>
          <cell r="B242">
            <v>110.5</v>
          </cell>
          <cell r="C242">
            <v>55.25</v>
          </cell>
          <cell r="D242">
            <v>18.416666666666668</v>
          </cell>
          <cell r="E242">
            <v>0</v>
          </cell>
        </row>
        <row r="243">
          <cell r="A243">
            <v>222</v>
          </cell>
          <cell r="B243">
            <v>111</v>
          </cell>
          <cell r="C243">
            <v>55.5</v>
          </cell>
          <cell r="D243">
            <v>18.5</v>
          </cell>
          <cell r="E243">
            <v>0</v>
          </cell>
        </row>
        <row r="244">
          <cell r="A244">
            <v>223</v>
          </cell>
          <cell r="B244">
            <v>111.5</v>
          </cell>
          <cell r="C244">
            <v>55.75</v>
          </cell>
          <cell r="D244">
            <v>18.583333333333332</v>
          </cell>
          <cell r="E244">
            <v>0</v>
          </cell>
        </row>
        <row r="245">
          <cell r="A245">
            <v>224</v>
          </cell>
          <cell r="B245">
            <v>112</v>
          </cell>
          <cell r="C245">
            <v>56</v>
          </cell>
          <cell r="D245">
            <v>18.666666666666668</v>
          </cell>
          <cell r="E245">
            <v>0</v>
          </cell>
        </row>
        <row r="246">
          <cell r="A246">
            <v>225</v>
          </cell>
          <cell r="B246">
            <v>112.5</v>
          </cell>
          <cell r="C246">
            <v>56.25</v>
          </cell>
          <cell r="D246">
            <v>18.75</v>
          </cell>
          <cell r="E246">
            <v>0</v>
          </cell>
        </row>
        <row r="247">
          <cell r="A247">
            <v>226</v>
          </cell>
          <cell r="B247">
            <v>113</v>
          </cell>
          <cell r="C247">
            <v>56.5</v>
          </cell>
          <cell r="D247">
            <v>18.833333333333332</v>
          </cell>
          <cell r="E247">
            <v>0</v>
          </cell>
        </row>
        <row r="248">
          <cell r="A248">
            <v>227</v>
          </cell>
          <cell r="B248">
            <v>113.5</v>
          </cell>
          <cell r="C248">
            <v>56.75</v>
          </cell>
          <cell r="D248">
            <v>18.916666666666668</v>
          </cell>
          <cell r="E248">
            <v>0</v>
          </cell>
        </row>
        <row r="249">
          <cell r="A249">
            <v>228</v>
          </cell>
          <cell r="B249">
            <v>114</v>
          </cell>
          <cell r="C249">
            <v>57</v>
          </cell>
          <cell r="D249">
            <v>19</v>
          </cell>
          <cell r="E249">
            <v>0</v>
          </cell>
        </row>
        <row r="250">
          <cell r="A250">
            <v>229</v>
          </cell>
          <cell r="B250">
            <v>114.5</v>
          </cell>
          <cell r="C250">
            <v>57.25</v>
          </cell>
          <cell r="D250">
            <v>19.083333333333332</v>
          </cell>
          <cell r="E250">
            <v>0</v>
          </cell>
        </row>
        <row r="251">
          <cell r="A251">
            <v>230</v>
          </cell>
          <cell r="B251">
            <v>115</v>
          </cell>
          <cell r="C251">
            <v>57.5</v>
          </cell>
          <cell r="D251">
            <v>19.166666666666668</v>
          </cell>
          <cell r="E251">
            <v>0</v>
          </cell>
        </row>
        <row r="252">
          <cell r="A252">
            <v>231</v>
          </cell>
          <cell r="B252">
            <v>115.5</v>
          </cell>
          <cell r="C252">
            <v>57.75</v>
          </cell>
          <cell r="D252">
            <v>19.25</v>
          </cell>
          <cell r="E252">
            <v>0</v>
          </cell>
        </row>
        <row r="253">
          <cell r="A253">
            <v>232</v>
          </cell>
          <cell r="B253">
            <v>116</v>
          </cell>
          <cell r="C253">
            <v>58</v>
          </cell>
          <cell r="D253">
            <v>19.333333333333332</v>
          </cell>
          <cell r="E253">
            <v>0</v>
          </cell>
        </row>
        <row r="254">
          <cell r="A254">
            <v>233</v>
          </cell>
          <cell r="B254">
            <v>116.5</v>
          </cell>
          <cell r="C254">
            <v>58.25</v>
          </cell>
          <cell r="D254">
            <v>19.416666666666668</v>
          </cell>
          <cell r="E254">
            <v>0</v>
          </cell>
        </row>
        <row r="255">
          <cell r="A255">
            <v>234</v>
          </cell>
          <cell r="B255">
            <v>117</v>
          </cell>
          <cell r="C255">
            <v>58.5</v>
          </cell>
          <cell r="D255">
            <v>19.5</v>
          </cell>
          <cell r="E255">
            <v>0</v>
          </cell>
        </row>
        <row r="256">
          <cell r="A256">
            <v>235</v>
          </cell>
          <cell r="B256">
            <v>117.5</v>
          </cell>
          <cell r="C256">
            <v>58.75</v>
          </cell>
          <cell r="D256">
            <v>19.583333333333332</v>
          </cell>
          <cell r="E256">
            <v>0</v>
          </cell>
        </row>
        <row r="257">
          <cell r="A257">
            <v>236</v>
          </cell>
          <cell r="B257">
            <v>118</v>
          </cell>
          <cell r="C257">
            <v>59</v>
          </cell>
          <cell r="D257">
            <v>19.666666666666668</v>
          </cell>
          <cell r="E257">
            <v>0</v>
          </cell>
        </row>
        <row r="258">
          <cell r="A258">
            <v>237</v>
          </cell>
          <cell r="B258">
            <v>118.5</v>
          </cell>
          <cell r="C258">
            <v>59.25</v>
          </cell>
          <cell r="D258">
            <v>19.75</v>
          </cell>
          <cell r="E258">
            <v>0</v>
          </cell>
        </row>
        <row r="259">
          <cell r="A259">
            <v>238</v>
          </cell>
          <cell r="B259">
            <v>119</v>
          </cell>
          <cell r="C259">
            <v>59.5</v>
          </cell>
          <cell r="D259">
            <v>19.833333333333332</v>
          </cell>
          <cell r="E259">
            <v>0</v>
          </cell>
        </row>
        <row r="260">
          <cell r="A260">
            <v>239</v>
          </cell>
          <cell r="B260">
            <v>119.5</v>
          </cell>
          <cell r="C260">
            <v>59.75</v>
          </cell>
          <cell r="D260">
            <v>19.916666666666668</v>
          </cell>
          <cell r="E260">
            <v>0</v>
          </cell>
        </row>
        <row r="261">
          <cell r="A261">
            <v>240</v>
          </cell>
          <cell r="B261">
            <v>120</v>
          </cell>
          <cell r="C261">
            <v>60</v>
          </cell>
          <cell r="D261">
            <v>20</v>
          </cell>
          <cell r="E261">
            <v>0</v>
          </cell>
        </row>
        <row r="262">
          <cell r="A262">
            <v>241</v>
          </cell>
          <cell r="B262">
            <v>120.5</v>
          </cell>
          <cell r="C262">
            <v>60.25</v>
          </cell>
          <cell r="D262">
            <v>20.083333333333332</v>
          </cell>
          <cell r="E262">
            <v>0</v>
          </cell>
        </row>
        <row r="263">
          <cell r="A263">
            <v>242</v>
          </cell>
          <cell r="B263">
            <v>121</v>
          </cell>
          <cell r="C263">
            <v>60.5</v>
          </cell>
          <cell r="D263">
            <v>20.166666666666668</v>
          </cell>
          <cell r="E263">
            <v>0</v>
          </cell>
        </row>
        <row r="264">
          <cell r="A264">
            <v>243</v>
          </cell>
          <cell r="B264">
            <v>121.5</v>
          </cell>
          <cell r="C264">
            <v>60.75</v>
          </cell>
          <cell r="D264">
            <v>20.25</v>
          </cell>
          <cell r="E264">
            <v>0</v>
          </cell>
        </row>
        <row r="265">
          <cell r="A265">
            <v>244</v>
          </cell>
          <cell r="B265">
            <v>122</v>
          </cell>
          <cell r="C265">
            <v>61</v>
          </cell>
          <cell r="D265">
            <v>20.333333333333332</v>
          </cell>
          <cell r="E265">
            <v>0</v>
          </cell>
        </row>
        <row r="266">
          <cell r="A266">
            <v>245</v>
          </cell>
          <cell r="B266">
            <v>122.5</v>
          </cell>
          <cell r="C266">
            <v>61.25</v>
          </cell>
          <cell r="D266">
            <v>20.416666666666668</v>
          </cell>
          <cell r="E266">
            <v>0</v>
          </cell>
        </row>
        <row r="267">
          <cell r="A267">
            <v>246</v>
          </cell>
          <cell r="B267">
            <v>123</v>
          </cell>
          <cell r="C267">
            <v>61.5</v>
          </cell>
          <cell r="D267">
            <v>20.5</v>
          </cell>
          <cell r="E267">
            <v>0</v>
          </cell>
        </row>
        <row r="268">
          <cell r="A268">
            <v>247</v>
          </cell>
          <cell r="B268">
            <v>123.5</v>
          </cell>
          <cell r="C268">
            <v>61.75</v>
          </cell>
          <cell r="D268">
            <v>20.583333333333332</v>
          </cell>
          <cell r="E268">
            <v>0</v>
          </cell>
        </row>
        <row r="269">
          <cell r="A269">
            <v>248</v>
          </cell>
          <cell r="B269">
            <v>124</v>
          </cell>
          <cell r="C269">
            <v>62</v>
          </cell>
          <cell r="D269">
            <v>20.666666666666668</v>
          </cell>
          <cell r="E269">
            <v>0</v>
          </cell>
        </row>
        <row r="270">
          <cell r="A270">
            <v>249</v>
          </cell>
          <cell r="B270">
            <v>124.5</v>
          </cell>
          <cell r="C270">
            <v>62.25</v>
          </cell>
          <cell r="D270">
            <v>20.75</v>
          </cell>
          <cell r="E270">
            <v>0</v>
          </cell>
        </row>
        <row r="271">
          <cell r="A271">
            <v>250</v>
          </cell>
          <cell r="B271">
            <v>125</v>
          </cell>
          <cell r="C271">
            <v>62.5</v>
          </cell>
          <cell r="D271">
            <v>20.833333333333332</v>
          </cell>
          <cell r="E271">
            <v>0</v>
          </cell>
        </row>
        <row r="272">
          <cell r="A272">
            <v>251</v>
          </cell>
          <cell r="B272">
            <v>125.5</v>
          </cell>
          <cell r="C272">
            <v>62.75</v>
          </cell>
          <cell r="D272">
            <v>20.916666666666668</v>
          </cell>
          <cell r="E272">
            <v>0</v>
          </cell>
        </row>
        <row r="273">
          <cell r="A273">
            <v>252</v>
          </cell>
          <cell r="B273">
            <v>126</v>
          </cell>
          <cell r="C273">
            <v>63</v>
          </cell>
          <cell r="D273">
            <v>21</v>
          </cell>
          <cell r="E273">
            <v>0</v>
          </cell>
        </row>
        <row r="274">
          <cell r="A274">
            <v>253</v>
          </cell>
          <cell r="B274">
            <v>126.5</v>
          </cell>
          <cell r="C274">
            <v>63.25</v>
          </cell>
          <cell r="D274">
            <v>21.083333333333332</v>
          </cell>
          <cell r="E274">
            <v>0</v>
          </cell>
        </row>
        <row r="275">
          <cell r="A275">
            <v>254</v>
          </cell>
          <cell r="B275">
            <v>127</v>
          </cell>
          <cell r="C275">
            <v>63.5</v>
          </cell>
          <cell r="D275">
            <v>21.166666666666668</v>
          </cell>
          <cell r="E275">
            <v>0</v>
          </cell>
        </row>
        <row r="276">
          <cell r="A276">
            <v>255</v>
          </cell>
          <cell r="B276">
            <v>127.5</v>
          </cell>
          <cell r="C276">
            <v>63.75</v>
          </cell>
          <cell r="D276">
            <v>21.25</v>
          </cell>
          <cell r="E276">
            <v>0</v>
          </cell>
        </row>
        <row r="277">
          <cell r="A277">
            <v>256</v>
          </cell>
          <cell r="B277">
            <v>128</v>
          </cell>
          <cell r="C277">
            <v>64</v>
          </cell>
          <cell r="D277">
            <v>21.333333333333332</v>
          </cell>
          <cell r="E277">
            <v>0</v>
          </cell>
        </row>
        <row r="278">
          <cell r="A278">
            <v>257</v>
          </cell>
          <cell r="B278">
            <v>128.5</v>
          </cell>
          <cell r="C278">
            <v>64.25</v>
          </cell>
          <cell r="D278">
            <v>21.416666666666668</v>
          </cell>
          <cell r="E278">
            <v>0</v>
          </cell>
        </row>
        <row r="279">
          <cell r="A279">
            <v>258</v>
          </cell>
          <cell r="B279">
            <v>129</v>
          </cell>
          <cell r="C279">
            <v>64.5</v>
          </cell>
          <cell r="D279">
            <v>21.5</v>
          </cell>
          <cell r="E279">
            <v>0</v>
          </cell>
        </row>
        <row r="280">
          <cell r="A280">
            <v>259</v>
          </cell>
          <cell r="B280">
            <v>129.5</v>
          </cell>
          <cell r="C280">
            <v>64.75</v>
          </cell>
          <cell r="D280">
            <v>21.583333333333332</v>
          </cell>
          <cell r="E280">
            <v>0</v>
          </cell>
        </row>
        <row r="281">
          <cell r="A281">
            <v>260</v>
          </cell>
          <cell r="B281">
            <v>130</v>
          </cell>
          <cell r="C281">
            <v>65</v>
          </cell>
          <cell r="D281">
            <v>21.666666666666668</v>
          </cell>
          <cell r="E281">
            <v>0</v>
          </cell>
        </row>
        <row r="282">
          <cell r="A282">
            <v>261</v>
          </cell>
          <cell r="B282">
            <v>130.5</v>
          </cell>
          <cell r="C282">
            <v>65.25</v>
          </cell>
          <cell r="D282">
            <v>21.75</v>
          </cell>
          <cell r="E282">
            <v>0</v>
          </cell>
        </row>
        <row r="283">
          <cell r="A283">
            <v>262</v>
          </cell>
          <cell r="B283">
            <v>131</v>
          </cell>
          <cell r="C283">
            <v>65.5</v>
          </cell>
          <cell r="D283">
            <v>21.833333333333332</v>
          </cell>
          <cell r="E283">
            <v>0</v>
          </cell>
        </row>
        <row r="284">
          <cell r="A284">
            <v>263</v>
          </cell>
          <cell r="B284">
            <v>131.5</v>
          </cell>
          <cell r="C284">
            <v>65.75</v>
          </cell>
          <cell r="D284">
            <v>21.916666666666668</v>
          </cell>
          <cell r="E284">
            <v>0</v>
          </cell>
        </row>
        <row r="285">
          <cell r="A285">
            <v>264</v>
          </cell>
          <cell r="B285">
            <v>132</v>
          </cell>
          <cell r="C285">
            <v>66</v>
          </cell>
          <cell r="D285">
            <v>22</v>
          </cell>
          <cell r="E285">
            <v>0</v>
          </cell>
        </row>
        <row r="286">
          <cell r="A286">
            <v>265</v>
          </cell>
          <cell r="B286">
            <v>132.5</v>
          </cell>
          <cell r="C286">
            <v>66.25</v>
          </cell>
          <cell r="D286">
            <v>22.083333333333332</v>
          </cell>
          <cell r="E286">
            <v>0</v>
          </cell>
        </row>
        <row r="287">
          <cell r="A287">
            <v>266</v>
          </cell>
          <cell r="B287">
            <v>133</v>
          </cell>
          <cell r="C287">
            <v>66.5</v>
          </cell>
          <cell r="D287">
            <v>22.166666666666668</v>
          </cell>
          <cell r="E287">
            <v>0</v>
          </cell>
        </row>
        <row r="288">
          <cell r="A288">
            <v>267</v>
          </cell>
          <cell r="B288">
            <v>133.5</v>
          </cell>
          <cell r="C288">
            <v>66.75</v>
          </cell>
          <cell r="D288">
            <v>22.25</v>
          </cell>
          <cell r="E288">
            <v>0</v>
          </cell>
        </row>
        <row r="289">
          <cell r="A289">
            <v>268</v>
          </cell>
          <cell r="B289">
            <v>134</v>
          </cell>
          <cell r="C289">
            <v>67</v>
          </cell>
          <cell r="D289">
            <v>22.333333333333332</v>
          </cell>
          <cell r="E289">
            <v>0</v>
          </cell>
        </row>
        <row r="290">
          <cell r="A290">
            <v>269</v>
          </cell>
          <cell r="B290">
            <v>134.5</v>
          </cell>
          <cell r="C290">
            <v>67.25</v>
          </cell>
          <cell r="D290">
            <v>22.416666666666668</v>
          </cell>
          <cell r="E290">
            <v>0</v>
          </cell>
        </row>
        <row r="291">
          <cell r="A291">
            <v>270</v>
          </cell>
          <cell r="B291">
            <v>135</v>
          </cell>
          <cell r="C291">
            <v>67.5</v>
          </cell>
          <cell r="D291">
            <v>22.5</v>
          </cell>
          <cell r="E291">
            <v>0</v>
          </cell>
        </row>
        <row r="292">
          <cell r="A292">
            <v>271</v>
          </cell>
          <cell r="B292">
            <v>135.5</v>
          </cell>
          <cell r="C292">
            <v>67.75</v>
          </cell>
          <cell r="D292">
            <v>22.583333333333332</v>
          </cell>
          <cell r="E292">
            <v>0</v>
          </cell>
        </row>
        <row r="293">
          <cell r="A293">
            <v>272</v>
          </cell>
          <cell r="B293">
            <v>136</v>
          </cell>
          <cell r="C293">
            <v>68</v>
          </cell>
          <cell r="D293">
            <v>22.666666666666668</v>
          </cell>
          <cell r="E293">
            <v>0</v>
          </cell>
        </row>
        <row r="294">
          <cell r="A294">
            <v>273</v>
          </cell>
          <cell r="B294">
            <v>136.5</v>
          </cell>
          <cell r="C294">
            <v>68.25</v>
          </cell>
          <cell r="D294">
            <v>22.75</v>
          </cell>
          <cell r="E294">
            <v>0</v>
          </cell>
        </row>
        <row r="295">
          <cell r="A295">
            <v>274</v>
          </cell>
          <cell r="B295">
            <v>137</v>
          </cell>
          <cell r="C295">
            <v>68.5</v>
          </cell>
          <cell r="D295">
            <v>22.833333333333332</v>
          </cell>
          <cell r="E295">
            <v>0</v>
          </cell>
        </row>
        <row r="296">
          <cell r="A296">
            <v>275</v>
          </cell>
          <cell r="B296">
            <v>137.5</v>
          </cell>
          <cell r="C296">
            <v>68.75</v>
          </cell>
          <cell r="D296">
            <v>22.916666666666668</v>
          </cell>
          <cell r="E296">
            <v>0</v>
          </cell>
        </row>
        <row r="297">
          <cell r="A297">
            <v>276</v>
          </cell>
          <cell r="B297">
            <v>138</v>
          </cell>
          <cell r="C297">
            <v>69</v>
          </cell>
          <cell r="D297">
            <v>23</v>
          </cell>
          <cell r="E297">
            <v>0</v>
          </cell>
        </row>
        <row r="298">
          <cell r="A298">
            <v>277</v>
          </cell>
          <cell r="B298">
            <v>138.5</v>
          </cell>
          <cell r="C298">
            <v>69.25</v>
          </cell>
          <cell r="D298">
            <v>23.083333333333332</v>
          </cell>
          <cell r="E298">
            <v>0</v>
          </cell>
        </row>
        <row r="299">
          <cell r="A299">
            <v>278</v>
          </cell>
          <cell r="B299">
            <v>139</v>
          </cell>
          <cell r="C299">
            <v>69.5</v>
          </cell>
          <cell r="D299">
            <v>23.166666666666668</v>
          </cell>
          <cell r="E299">
            <v>0</v>
          </cell>
        </row>
        <row r="300">
          <cell r="A300">
            <v>279</v>
          </cell>
          <cell r="B300">
            <v>139.5</v>
          </cell>
          <cell r="C300">
            <v>69.75</v>
          </cell>
          <cell r="D300">
            <v>23.25</v>
          </cell>
          <cell r="E300">
            <v>0</v>
          </cell>
        </row>
        <row r="301">
          <cell r="A301">
            <v>280</v>
          </cell>
          <cell r="B301">
            <v>140</v>
          </cell>
          <cell r="C301">
            <v>70</v>
          </cell>
          <cell r="D301">
            <v>23.333333333333332</v>
          </cell>
          <cell r="E301">
            <v>0</v>
          </cell>
        </row>
        <row r="302">
          <cell r="A302">
            <v>281</v>
          </cell>
          <cell r="B302">
            <v>140.5</v>
          </cell>
          <cell r="C302">
            <v>70.25</v>
          </cell>
          <cell r="D302">
            <v>23.416666666666668</v>
          </cell>
          <cell r="E302">
            <v>0</v>
          </cell>
        </row>
        <row r="303">
          <cell r="A303">
            <v>282</v>
          </cell>
          <cell r="B303">
            <v>141</v>
          </cell>
          <cell r="C303">
            <v>70.5</v>
          </cell>
          <cell r="D303">
            <v>23.5</v>
          </cell>
          <cell r="E303">
            <v>0</v>
          </cell>
        </row>
        <row r="304">
          <cell r="A304">
            <v>283</v>
          </cell>
          <cell r="B304">
            <v>141.5</v>
          </cell>
          <cell r="C304">
            <v>70.75</v>
          </cell>
          <cell r="D304">
            <v>23.583333333333332</v>
          </cell>
          <cell r="E304">
            <v>0</v>
          </cell>
        </row>
        <row r="305">
          <cell r="A305">
            <v>284</v>
          </cell>
          <cell r="B305">
            <v>142</v>
          </cell>
          <cell r="C305">
            <v>71</v>
          </cell>
          <cell r="D305">
            <v>23.666666666666668</v>
          </cell>
          <cell r="E305">
            <v>0</v>
          </cell>
        </row>
        <row r="306">
          <cell r="A306">
            <v>285</v>
          </cell>
          <cell r="B306">
            <v>142.5</v>
          </cell>
          <cell r="C306">
            <v>71.25</v>
          </cell>
          <cell r="D306">
            <v>23.75</v>
          </cell>
          <cell r="E306">
            <v>0</v>
          </cell>
        </row>
        <row r="307">
          <cell r="A307">
            <v>286</v>
          </cell>
          <cell r="B307">
            <v>143</v>
          </cell>
          <cell r="C307">
            <v>71.5</v>
          </cell>
          <cell r="D307">
            <v>23.833333333333332</v>
          </cell>
          <cell r="E307">
            <v>0</v>
          </cell>
        </row>
        <row r="308">
          <cell r="A308">
            <v>287</v>
          </cell>
          <cell r="B308">
            <v>143.5</v>
          </cell>
          <cell r="C308">
            <v>71.75</v>
          </cell>
          <cell r="D308">
            <v>23.916666666666668</v>
          </cell>
          <cell r="E308">
            <v>0</v>
          </cell>
        </row>
        <row r="309">
          <cell r="A309">
            <v>288</v>
          </cell>
          <cell r="B309">
            <v>144</v>
          </cell>
          <cell r="C309">
            <v>72</v>
          </cell>
          <cell r="D309">
            <v>24</v>
          </cell>
          <cell r="E309">
            <v>0</v>
          </cell>
        </row>
        <row r="310">
          <cell r="A310">
            <v>289</v>
          </cell>
          <cell r="B310">
            <v>144.5</v>
          </cell>
          <cell r="C310">
            <v>72.25</v>
          </cell>
          <cell r="D310">
            <v>24.083333333333332</v>
          </cell>
          <cell r="E310">
            <v>0</v>
          </cell>
        </row>
        <row r="311">
          <cell r="A311">
            <v>290</v>
          </cell>
          <cell r="B311">
            <v>145</v>
          </cell>
          <cell r="C311">
            <v>72.5</v>
          </cell>
          <cell r="D311">
            <v>24.166666666666668</v>
          </cell>
          <cell r="E311">
            <v>0</v>
          </cell>
        </row>
        <row r="312">
          <cell r="A312">
            <v>291</v>
          </cell>
          <cell r="B312">
            <v>145.5</v>
          </cell>
          <cell r="C312">
            <v>72.75</v>
          </cell>
          <cell r="D312">
            <v>24.25</v>
          </cell>
          <cell r="E312">
            <v>0</v>
          </cell>
        </row>
        <row r="313">
          <cell r="A313">
            <v>292</v>
          </cell>
          <cell r="B313">
            <v>146</v>
          </cell>
          <cell r="C313">
            <v>73</v>
          </cell>
          <cell r="D313">
            <v>24.333333333333332</v>
          </cell>
          <cell r="E313">
            <v>0</v>
          </cell>
        </row>
        <row r="314">
          <cell r="A314">
            <v>293</v>
          </cell>
          <cell r="B314">
            <v>146.5</v>
          </cell>
          <cell r="C314">
            <v>73.25</v>
          </cell>
          <cell r="D314">
            <v>24.416666666666668</v>
          </cell>
          <cell r="E314">
            <v>0</v>
          </cell>
        </row>
        <row r="315">
          <cell r="A315">
            <v>294</v>
          </cell>
          <cell r="B315">
            <v>147</v>
          </cell>
          <cell r="C315">
            <v>73.5</v>
          </cell>
          <cell r="D315">
            <v>24.5</v>
          </cell>
          <cell r="E315">
            <v>0</v>
          </cell>
        </row>
        <row r="316">
          <cell r="A316">
            <v>295</v>
          </cell>
          <cell r="B316">
            <v>147.5</v>
          </cell>
          <cell r="C316">
            <v>73.75</v>
          </cell>
          <cell r="D316">
            <v>24.583333333333332</v>
          </cell>
          <cell r="E316">
            <v>0</v>
          </cell>
        </row>
        <row r="317">
          <cell r="A317">
            <v>296</v>
          </cell>
          <cell r="B317">
            <v>148</v>
          </cell>
          <cell r="C317">
            <v>74</v>
          </cell>
          <cell r="D317">
            <v>24.666666666666668</v>
          </cell>
          <cell r="E317">
            <v>0</v>
          </cell>
        </row>
        <row r="318">
          <cell r="A318">
            <v>297</v>
          </cell>
          <cell r="B318">
            <v>148.5</v>
          </cell>
          <cell r="C318">
            <v>74.25</v>
          </cell>
          <cell r="D318">
            <v>24.75</v>
          </cell>
          <cell r="E318">
            <v>0</v>
          </cell>
        </row>
        <row r="319">
          <cell r="A319">
            <v>298</v>
          </cell>
          <cell r="B319">
            <v>149</v>
          </cell>
          <cell r="C319">
            <v>74.5</v>
          </cell>
          <cell r="D319">
            <v>24.833333333333332</v>
          </cell>
          <cell r="E319">
            <v>0</v>
          </cell>
        </row>
        <row r="320">
          <cell r="A320">
            <v>299</v>
          </cell>
          <cell r="B320">
            <v>149.5</v>
          </cell>
          <cell r="C320">
            <v>74.75</v>
          </cell>
          <cell r="D320">
            <v>24.916666666666668</v>
          </cell>
          <cell r="E320">
            <v>0</v>
          </cell>
        </row>
        <row r="321">
          <cell r="A321">
            <v>300</v>
          </cell>
          <cell r="B321">
            <v>150</v>
          </cell>
          <cell r="C321">
            <v>75</v>
          </cell>
          <cell r="D321">
            <v>25</v>
          </cell>
          <cell r="E321">
            <v>0</v>
          </cell>
        </row>
        <row r="322">
          <cell r="A322">
            <v>301</v>
          </cell>
          <cell r="B322">
            <v>150.5</v>
          </cell>
          <cell r="C322">
            <v>75.25</v>
          </cell>
          <cell r="D322">
            <v>25.083333333333332</v>
          </cell>
          <cell r="E322">
            <v>0</v>
          </cell>
        </row>
        <row r="323">
          <cell r="A323">
            <v>302</v>
          </cell>
          <cell r="B323">
            <v>151</v>
          </cell>
          <cell r="C323">
            <v>75.5</v>
          </cell>
          <cell r="D323">
            <v>25.166666666666668</v>
          </cell>
          <cell r="E323">
            <v>0</v>
          </cell>
        </row>
        <row r="324">
          <cell r="A324">
            <v>303</v>
          </cell>
          <cell r="B324">
            <v>151.5</v>
          </cell>
          <cell r="C324">
            <v>75.75</v>
          </cell>
          <cell r="D324">
            <v>25.25</v>
          </cell>
          <cell r="E324">
            <v>0</v>
          </cell>
        </row>
        <row r="325">
          <cell r="A325">
            <v>304</v>
          </cell>
          <cell r="B325">
            <v>152</v>
          </cell>
          <cell r="C325">
            <v>76</v>
          </cell>
          <cell r="D325">
            <v>25.333333333333332</v>
          </cell>
          <cell r="E325">
            <v>0</v>
          </cell>
        </row>
        <row r="326">
          <cell r="A326">
            <v>305</v>
          </cell>
          <cell r="B326">
            <v>152.5</v>
          </cell>
          <cell r="C326">
            <v>76.25</v>
          </cell>
          <cell r="D326">
            <v>25.416666666666668</v>
          </cell>
          <cell r="E326">
            <v>0</v>
          </cell>
        </row>
        <row r="327">
          <cell r="A327">
            <v>306</v>
          </cell>
          <cell r="B327">
            <v>153</v>
          </cell>
          <cell r="C327">
            <v>76.5</v>
          </cell>
          <cell r="D327">
            <v>25.5</v>
          </cell>
          <cell r="E327">
            <v>0</v>
          </cell>
        </row>
        <row r="328">
          <cell r="A328">
            <v>307</v>
          </cell>
          <cell r="B328">
            <v>153.5</v>
          </cell>
          <cell r="C328">
            <v>76.75</v>
          </cell>
          <cell r="D328">
            <v>25.583333333333332</v>
          </cell>
          <cell r="E328">
            <v>0</v>
          </cell>
        </row>
        <row r="329">
          <cell r="A329">
            <v>308</v>
          </cell>
          <cell r="B329">
            <v>154</v>
          </cell>
          <cell r="C329">
            <v>77</v>
          </cell>
          <cell r="D329">
            <v>25.666666666666668</v>
          </cell>
          <cell r="E329">
            <v>0</v>
          </cell>
        </row>
        <row r="330">
          <cell r="A330">
            <v>309</v>
          </cell>
          <cell r="B330">
            <v>154.5</v>
          </cell>
          <cell r="C330">
            <v>77.25</v>
          </cell>
          <cell r="D330">
            <v>25.75</v>
          </cell>
          <cell r="E330">
            <v>0</v>
          </cell>
        </row>
        <row r="331">
          <cell r="A331">
            <v>310</v>
          </cell>
          <cell r="B331">
            <v>155</v>
          </cell>
          <cell r="C331">
            <v>77.5</v>
          </cell>
          <cell r="D331">
            <v>25.833333333333332</v>
          </cell>
          <cell r="E331">
            <v>0</v>
          </cell>
        </row>
        <row r="332">
          <cell r="A332">
            <v>311</v>
          </cell>
          <cell r="B332">
            <v>155.5</v>
          </cell>
          <cell r="C332">
            <v>77.75</v>
          </cell>
          <cell r="D332">
            <v>25.916666666666668</v>
          </cell>
          <cell r="E332">
            <v>0</v>
          </cell>
        </row>
        <row r="333">
          <cell r="A333">
            <v>312</v>
          </cell>
          <cell r="B333">
            <v>156</v>
          </cell>
          <cell r="C333">
            <v>78</v>
          </cell>
          <cell r="D333">
            <v>26</v>
          </cell>
          <cell r="E333">
            <v>0</v>
          </cell>
        </row>
        <row r="334">
          <cell r="A334">
            <v>313</v>
          </cell>
          <cell r="B334">
            <v>156.5</v>
          </cell>
          <cell r="C334">
            <v>78.25</v>
          </cell>
          <cell r="D334">
            <v>26.083333333333332</v>
          </cell>
          <cell r="E334">
            <v>0</v>
          </cell>
        </row>
        <row r="335">
          <cell r="A335">
            <v>314</v>
          </cell>
          <cell r="B335">
            <v>157</v>
          </cell>
          <cell r="C335">
            <v>78.5</v>
          </cell>
          <cell r="D335">
            <v>26.166666666666668</v>
          </cell>
          <cell r="E335">
            <v>0</v>
          </cell>
        </row>
        <row r="336">
          <cell r="A336">
            <v>315</v>
          </cell>
          <cell r="B336">
            <v>157.5</v>
          </cell>
          <cell r="C336">
            <v>78.75</v>
          </cell>
          <cell r="D336">
            <v>26.25</v>
          </cell>
          <cell r="E336">
            <v>0</v>
          </cell>
        </row>
        <row r="337">
          <cell r="A337">
            <v>316</v>
          </cell>
          <cell r="B337">
            <v>158</v>
          </cell>
          <cell r="C337">
            <v>79</v>
          </cell>
          <cell r="D337">
            <v>26.333333333333332</v>
          </cell>
          <cell r="E337">
            <v>0</v>
          </cell>
        </row>
        <row r="338">
          <cell r="A338">
            <v>317</v>
          </cell>
          <cell r="B338">
            <v>158.5</v>
          </cell>
          <cell r="C338">
            <v>79.25</v>
          </cell>
          <cell r="D338">
            <v>26.416666666666668</v>
          </cell>
          <cell r="E338">
            <v>0</v>
          </cell>
        </row>
        <row r="339">
          <cell r="A339">
            <v>318</v>
          </cell>
          <cell r="B339">
            <v>159</v>
          </cell>
          <cell r="C339">
            <v>79.5</v>
          </cell>
          <cell r="D339">
            <v>26.5</v>
          </cell>
          <cell r="E339">
            <v>0</v>
          </cell>
        </row>
        <row r="340">
          <cell r="A340">
            <v>319</v>
          </cell>
          <cell r="B340">
            <v>159.5</v>
          </cell>
          <cell r="C340">
            <v>79.75</v>
          </cell>
          <cell r="D340">
            <v>26.583333333333332</v>
          </cell>
          <cell r="E340">
            <v>0</v>
          </cell>
        </row>
        <row r="341">
          <cell r="A341">
            <v>320</v>
          </cell>
          <cell r="B341">
            <v>160</v>
          </cell>
          <cell r="C341">
            <v>80</v>
          </cell>
          <cell r="D341">
            <v>26.666666666666668</v>
          </cell>
          <cell r="E341">
            <v>0</v>
          </cell>
        </row>
        <row r="342">
          <cell r="A342">
            <v>321</v>
          </cell>
          <cell r="B342">
            <v>160.5</v>
          </cell>
          <cell r="C342">
            <v>80.25</v>
          </cell>
          <cell r="D342">
            <v>26.75</v>
          </cell>
          <cell r="E342">
            <v>0</v>
          </cell>
        </row>
        <row r="343">
          <cell r="A343">
            <v>322</v>
          </cell>
          <cell r="B343">
            <v>161</v>
          </cell>
          <cell r="C343">
            <v>80.5</v>
          </cell>
          <cell r="D343">
            <v>26.833333333333332</v>
          </cell>
          <cell r="E343">
            <v>0</v>
          </cell>
        </row>
        <row r="344">
          <cell r="A344">
            <v>323</v>
          </cell>
          <cell r="B344">
            <v>161.5</v>
          </cell>
          <cell r="C344">
            <v>80.75</v>
          </cell>
          <cell r="D344">
            <v>26.916666666666668</v>
          </cell>
          <cell r="E344">
            <v>0</v>
          </cell>
        </row>
        <row r="345">
          <cell r="A345">
            <v>324</v>
          </cell>
          <cell r="B345">
            <v>162</v>
          </cell>
          <cell r="C345">
            <v>81</v>
          </cell>
          <cell r="D345">
            <v>27</v>
          </cell>
          <cell r="E345">
            <v>0</v>
          </cell>
        </row>
        <row r="346">
          <cell r="A346">
            <v>325</v>
          </cell>
          <cell r="B346">
            <v>162.5</v>
          </cell>
          <cell r="C346">
            <v>81.25</v>
          </cell>
          <cell r="D346">
            <v>27.083333333333332</v>
          </cell>
          <cell r="E346">
            <v>0</v>
          </cell>
        </row>
        <row r="347">
          <cell r="A347">
            <v>326</v>
          </cell>
          <cell r="B347">
            <v>163</v>
          </cell>
          <cell r="C347">
            <v>81.5</v>
          </cell>
          <cell r="D347">
            <v>27.166666666666668</v>
          </cell>
          <cell r="E347">
            <v>0</v>
          </cell>
        </row>
        <row r="348">
          <cell r="A348">
            <v>327</v>
          </cell>
          <cell r="B348">
            <v>163.5</v>
          </cell>
          <cell r="C348">
            <v>81.75</v>
          </cell>
          <cell r="D348">
            <v>27.25</v>
          </cell>
          <cell r="E348">
            <v>0</v>
          </cell>
        </row>
        <row r="349">
          <cell r="A349">
            <v>328</v>
          </cell>
          <cell r="B349">
            <v>164</v>
          </cell>
          <cell r="C349">
            <v>82</v>
          </cell>
          <cell r="D349">
            <v>27.333333333333332</v>
          </cell>
          <cell r="E349">
            <v>0</v>
          </cell>
        </row>
        <row r="350">
          <cell r="A350">
            <v>329</v>
          </cell>
          <cell r="B350">
            <v>164.5</v>
          </cell>
          <cell r="C350">
            <v>82.25</v>
          </cell>
          <cell r="D350">
            <v>27.416666666666668</v>
          </cell>
          <cell r="E350">
            <v>0</v>
          </cell>
        </row>
        <row r="351">
          <cell r="A351">
            <v>330</v>
          </cell>
          <cell r="B351">
            <v>165</v>
          </cell>
          <cell r="C351">
            <v>82.5</v>
          </cell>
          <cell r="D351">
            <v>27.5</v>
          </cell>
          <cell r="E351">
            <v>0</v>
          </cell>
        </row>
        <row r="352">
          <cell r="A352">
            <v>331</v>
          </cell>
          <cell r="B352">
            <v>165.5</v>
          </cell>
          <cell r="C352">
            <v>82.75</v>
          </cell>
          <cell r="D352">
            <v>27.583333333333332</v>
          </cell>
          <cell r="E352">
            <v>0</v>
          </cell>
        </row>
        <row r="353">
          <cell r="A353">
            <v>332</v>
          </cell>
          <cell r="B353">
            <v>166</v>
          </cell>
          <cell r="C353">
            <v>83</v>
          </cell>
          <cell r="D353">
            <v>27.666666666666668</v>
          </cell>
          <cell r="E353">
            <v>0</v>
          </cell>
        </row>
        <row r="354">
          <cell r="A354">
            <v>333</v>
          </cell>
          <cell r="B354">
            <v>166.5</v>
          </cell>
          <cell r="C354">
            <v>83.25</v>
          </cell>
          <cell r="D354">
            <v>27.75</v>
          </cell>
          <cell r="E354">
            <v>0</v>
          </cell>
        </row>
        <row r="355">
          <cell r="A355">
            <v>334</v>
          </cell>
          <cell r="B355">
            <v>167</v>
          </cell>
          <cell r="C355">
            <v>83.5</v>
          </cell>
          <cell r="D355">
            <v>27.833333333333332</v>
          </cell>
          <cell r="E355">
            <v>0</v>
          </cell>
        </row>
        <row r="356">
          <cell r="A356">
            <v>335</v>
          </cell>
          <cell r="B356">
            <v>167.5</v>
          </cell>
          <cell r="C356">
            <v>83.75</v>
          </cell>
          <cell r="D356">
            <v>27.916666666666668</v>
          </cell>
          <cell r="E356">
            <v>0</v>
          </cell>
        </row>
        <row r="357">
          <cell r="A357">
            <v>336</v>
          </cell>
          <cell r="B357">
            <v>168</v>
          </cell>
          <cell r="C357">
            <v>84</v>
          </cell>
          <cell r="D357">
            <v>28</v>
          </cell>
          <cell r="E357">
            <v>0</v>
          </cell>
        </row>
        <row r="358">
          <cell r="A358">
            <v>337</v>
          </cell>
          <cell r="B358">
            <v>168.5</v>
          </cell>
          <cell r="C358">
            <v>84.25</v>
          </cell>
          <cell r="D358">
            <v>28.083333333333332</v>
          </cell>
          <cell r="E358">
            <v>0</v>
          </cell>
        </row>
        <row r="359">
          <cell r="A359">
            <v>338</v>
          </cell>
          <cell r="B359">
            <v>169</v>
          </cell>
          <cell r="C359">
            <v>84.5</v>
          </cell>
          <cell r="D359">
            <v>28.166666666666668</v>
          </cell>
          <cell r="E359">
            <v>0</v>
          </cell>
        </row>
        <row r="360">
          <cell r="A360">
            <v>339</v>
          </cell>
          <cell r="B360">
            <v>169.5</v>
          </cell>
          <cell r="C360">
            <v>84.75</v>
          </cell>
          <cell r="D360">
            <v>28.25</v>
          </cell>
          <cell r="E360">
            <v>0</v>
          </cell>
        </row>
        <row r="361">
          <cell r="A361">
            <v>340</v>
          </cell>
          <cell r="B361">
            <v>170</v>
          </cell>
          <cell r="C361">
            <v>85</v>
          </cell>
          <cell r="D361">
            <v>28.333333333333332</v>
          </cell>
          <cell r="E361">
            <v>0</v>
          </cell>
        </row>
        <row r="362">
          <cell r="A362">
            <v>341</v>
          </cell>
          <cell r="B362">
            <v>170.5</v>
          </cell>
          <cell r="C362">
            <v>85.25</v>
          </cell>
          <cell r="D362">
            <v>28.416666666666668</v>
          </cell>
          <cell r="E362">
            <v>0</v>
          </cell>
        </row>
        <row r="363">
          <cell r="A363">
            <v>342</v>
          </cell>
          <cell r="B363">
            <v>171</v>
          </cell>
          <cell r="C363">
            <v>85.5</v>
          </cell>
          <cell r="D363">
            <v>28.5</v>
          </cell>
          <cell r="E363">
            <v>0</v>
          </cell>
        </row>
        <row r="364">
          <cell r="A364">
            <v>343</v>
          </cell>
          <cell r="B364">
            <v>171.5</v>
          </cell>
          <cell r="C364">
            <v>85.75</v>
          </cell>
          <cell r="D364">
            <v>28.583333333333332</v>
          </cell>
          <cell r="E364">
            <v>0</v>
          </cell>
        </row>
        <row r="365">
          <cell r="A365">
            <v>344</v>
          </cell>
          <cell r="B365">
            <v>172</v>
          </cell>
          <cell r="C365">
            <v>86</v>
          </cell>
          <cell r="D365">
            <v>28.666666666666668</v>
          </cell>
          <cell r="E365">
            <v>0</v>
          </cell>
        </row>
        <row r="366">
          <cell r="A366">
            <v>345</v>
          </cell>
          <cell r="B366">
            <v>172.5</v>
          </cell>
          <cell r="C366">
            <v>86.25</v>
          </cell>
          <cell r="D366">
            <v>28.75</v>
          </cell>
          <cell r="E366">
            <v>0</v>
          </cell>
        </row>
        <row r="367">
          <cell r="A367">
            <v>346</v>
          </cell>
          <cell r="B367">
            <v>173</v>
          </cell>
          <cell r="C367">
            <v>86.5</v>
          </cell>
          <cell r="D367">
            <v>28.833333333333332</v>
          </cell>
          <cell r="E367">
            <v>0</v>
          </cell>
        </row>
        <row r="368">
          <cell r="A368">
            <v>347</v>
          </cell>
          <cell r="B368">
            <v>173.5</v>
          </cell>
          <cell r="C368">
            <v>86.75</v>
          </cell>
          <cell r="D368">
            <v>28.916666666666668</v>
          </cell>
          <cell r="E368">
            <v>0</v>
          </cell>
        </row>
        <row r="369">
          <cell r="A369">
            <v>348</v>
          </cell>
          <cell r="B369">
            <v>174</v>
          </cell>
          <cell r="C369">
            <v>87</v>
          </cell>
          <cell r="D369">
            <v>29</v>
          </cell>
          <cell r="E369">
            <v>0</v>
          </cell>
        </row>
        <row r="370">
          <cell r="A370">
            <v>349</v>
          </cell>
          <cell r="B370">
            <v>174.5</v>
          </cell>
          <cell r="C370">
            <v>87.25</v>
          </cell>
          <cell r="D370">
            <v>29.083333333333332</v>
          </cell>
          <cell r="E370">
            <v>0</v>
          </cell>
        </row>
        <row r="371">
          <cell r="A371">
            <v>350</v>
          </cell>
          <cell r="B371">
            <v>175</v>
          </cell>
          <cell r="C371">
            <v>87.5</v>
          </cell>
          <cell r="D371">
            <v>29.166666666666668</v>
          </cell>
          <cell r="E371">
            <v>0</v>
          </cell>
        </row>
        <row r="372">
          <cell r="A372">
            <v>351</v>
          </cell>
          <cell r="B372">
            <v>175.5</v>
          </cell>
          <cell r="C372">
            <v>87.75</v>
          </cell>
          <cell r="D372">
            <v>29.25</v>
          </cell>
          <cell r="E372">
            <v>0</v>
          </cell>
        </row>
        <row r="373">
          <cell r="A373">
            <v>352</v>
          </cell>
          <cell r="B373">
            <v>176</v>
          </cell>
          <cell r="C373">
            <v>88</v>
          </cell>
          <cell r="D373">
            <v>29.333333333333332</v>
          </cell>
          <cell r="E373">
            <v>0</v>
          </cell>
        </row>
        <row r="374">
          <cell r="A374">
            <v>353</v>
          </cell>
          <cell r="B374">
            <v>176.5</v>
          </cell>
          <cell r="C374">
            <v>88.25</v>
          </cell>
          <cell r="D374">
            <v>29.416666666666668</v>
          </cell>
          <cell r="E374">
            <v>0</v>
          </cell>
        </row>
        <row r="375">
          <cell r="A375">
            <v>354</v>
          </cell>
          <cell r="B375">
            <v>177</v>
          </cell>
          <cell r="C375">
            <v>88.5</v>
          </cell>
          <cell r="D375">
            <v>29.5</v>
          </cell>
          <cell r="E375">
            <v>0</v>
          </cell>
        </row>
        <row r="376">
          <cell r="A376">
            <v>355</v>
          </cell>
          <cell r="B376">
            <v>177.5</v>
          </cell>
          <cell r="C376">
            <v>88.75</v>
          </cell>
          <cell r="D376">
            <v>29.583333333333332</v>
          </cell>
          <cell r="E376">
            <v>0</v>
          </cell>
        </row>
        <row r="377">
          <cell r="A377">
            <v>356</v>
          </cell>
          <cell r="B377">
            <v>178</v>
          </cell>
          <cell r="C377">
            <v>89</v>
          </cell>
          <cell r="D377">
            <v>29.666666666666668</v>
          </cell>
          <cell r="E377">
            <v>0</v>
          </cell>
        </row>
        <row r="378">
          <cell r="A378">
            <v>357</v>
          </cell>
          <cell r="B378">
            <v>178.5</v>
          </cell>
          <cell r="C378">
            <v>89.25</v>
          </cell>
          <cell r="D378">
            <v>29.75</v>
          </cell>
          <cell r="E378">
            <v>0</v>
          </cell>
        </row>
        <row r="379">
          <cell r="A379">
            <v>358</v>
          </cell>
          <cell r="B379">
            <v>179</v>
          </cell>
          <cell r="C379">
            <v>89.5</v>
          </cell>
          <cell r="D379">
            <v>29.833333333333332</v>
          </cell>
          <cell r="E379">
            <v>0</v>
          </cell>
        </row>
        <row r="380">
          <cell r="A380">
            <v>359</v>
          </cell>
          <cell r="B380">
            <v>179.5</v>
          </cell>
          <cell r="C380">
            <v>89.75</v>
          </cell>
          <cell r="D380">
            <v>29.916666666666668</v>
          </cell>
          <cell r="E380">
            <v>0</v>
          </cell>
        </row>
        <row r="381">
          <cell r="A381">
            <v>360</v>
          </cell>
          <cell r="B381">
            <v>180</v>
          </cell>
          <cell r="C381">
            <v>90</v>
          </cell>
          <cell r="D381">
            <v>30</v>
          </cell>
          <cell r="E381">
            <v>0</v>
          </cell>
        </row>
      </sheetData>
      <sheetData sheetId="5">
        <row r="17">
          <cell r="AG17">
            <v>7.2527903014262716</v>
          </cell>
        </row>
        <row r="18">
          <cell r="AA18">
            <v>2.8861298460807872</v>
          </cell>
        </row>
        <row r="22">
          <cell r="A22">
            <v>1</v>
          </cell>
          <cell r="B22">
            <v>0.5</v>
          </cell>
          <cell r="C22">
            <v>0.25</v>
          </cell>
          <cell r="D22">
            <v>8.3333333333333329E-2</v>
          </cell>
          <cell r="E22">
            <v>9940978.0560040288</v>
          </cell>
        </row>
        <row r="23">
          <cell r="A23">
            <v>2</v>
          </cell>
          <cell r="B23">
            <v>1</v>
          </cell>
          <cell r="C23">
            <v>0.5</v>
          </cell>
          <cell r="D23">
            <v>0.16666666666666666</v>
          </cell>
          <cell r="E23">
            <v>9882002.6499959249</v>
          </cell>
        </row>
        <row r="24">
          <cell r="A24">
            <v>3</v>
          </cell>
          <cell r="B24">
            <v>1.5</v>
          </cell>
          <cell r="C24">
            <v>0.75</v>
          </cell>
          <cell r="D24">
            <v>0.25</v>
          </cell>
          <cell r="E24">
            <v>9823073.6440634225</v>
          </cell>
        </row>
        <row r="25">
          <cell r="A25">
            <v>4</v>
          </cell>
          <cell r="B25">
            <v>2</v>
          </cell>
          <cell r="C25">
            <v>1</v>
          </cell>
          <cell r="D25">
            <v>0.33333333333333331</v>
          </cell>
          <cell r="E25">
            <v>9764190.9004488606</v>
          </cell>
        </row>
        <row r="26">
          <cell r="A26">
            <v>5</v>
          </cell>
          <cell r="B26">
            <v>2.5</v>
          </cell>
          <cell r="C26">
            <v>1.25</v>
          </cell>
          <cell r="D26">
            <v>0.41666666666666669</v>
          </cell>
          <cell r="E26">
            <v>9705354.2815488428</v>
          </cell>
        </row>
        <row r="27">
          <cell r="A27">
            <v>6</v>
          </cell>
          <cell r="B27">
            <v>3</v>
          </cell>
          <cell r="C27">
            <v>1.5</v>
          </cell>
          <cell r="D27">
            <v>0.5</v>
          </cell>
          <cell r="E27">
            <v>9646563.649913894</v>
          </cell>
        </row>
        <row r="28">
          <cell r="A28">
            <v>7</v>
          </cell>
          <cell r="B28">
            <v>3.5</v>
          </cell>
          <cell r="C28">
            <v>1.75</v>
          </cell>
          <cell r="D28">
            <v>0.58333333333333337</v>
          </cell>
          <cell r="E28">
            <v>9587818.8682481162</v>
          </cell>
        </row>
        <row r="29">
          <cell r="A29">
            <v>8</v>
          </cell>
          <cell r="B29">
            <v>4</v>
          </cell>
          <cell r="C29">
            <v>2</v>
          </cell>
          <cell r="D29">
            <v>0.66666666666666663</v>
          </cell>
          <cell r="E29">
            <v>9529119.7994088512</v>
          </cell>
        </row>
        <row r="30">
          <cell r="A30">
            <v>9</v>
          </cell>
          <cell r="B30">
            <v>4.5</v>
          </cell>
          <cell r="C30">
            <v>2.25</v>
          </cell>
          <cell r="D30">
            <v>0.75</v>
          </cell>
          <cell r="E30">
            <v>9470466.306406334</v>
          </cell>
        </row>
        <row r="31">
          <cell r="A31">
            <v>10</v>
          </cell>
          <cell r="B31">
            <v>5</v>
          </cell>
          <cell r="C31">
            <v>2.5</v>
          </cell>
          <cell r="D31">
            <v>0.83333333333333337</v>
          </cell>
          <cell r="E31">
            <v>9411858.2524033599</v>
          </cell>
        </row>
        <row r="32">
          <cell r="A32">
            <v>11</v>
          </cell>
          <cell r="B32">
            <v>5.5</v>
          </cell>
          <cell r="C32">
            <v>2.75</v>
          </cell>
          <cell r="D32">
            <v>0.91666666666666663</v>
          </cell>
          <cell r="E32">
            <v>9353295.5007149354</v>
          </cell>
        </row>
        <row r="33">
          <cell r="A33">
            <v>12</v>
          </cell>
          <cell r="B33">
            <v>6</v>
          </cell>
          <cell r="C33">
            <v>3</v>
          </cell>
          <cell r="D33">
            <v>1</v>
          </cell>
          <cell r="E33">
            <v>9294777.9148079399</v>
          </cell>
        </row>
        <row r="34">
          <cell r="A34">
            <v>13</v>
          </cell>
          <cell r="B34">
            <v>6.5</v>
          </cell>
          <cell r="C34">
            <v>3.25</v>
          </cell>
          <cell r="D34">
            <v>1.0833333333333333</v>
          </cell>
          <cell r="E34">
            <v>9236305.3583007958</v>
          </cell>
        </row>
        <row r="35">
          <cell r="A35">
            <v>14</v>
          </cell>
          <cell r="B35">
            <v>7</v>
          </cell>
          <cell r="C35">
            <v>3.5</v>
          </cell>
          <cell r="D35">
            <v>1.1666666666666667</v>
          </cell>
          <cell r="E35">
            <v>9177877.6949631143</v>
          </cell>
        </row>
        <row r="36">
          <cell r="A36">
            <v>15</v>
          </cell>
          <cell r="B36">
            <v>7.5</v>
          </cell>
          <cell r="C36">
            <v>3.75</v>
          </cell>
          <cell r="D36">
            <v>1.25</v>
          </cell>
          <cell r="E36">
            <v>9119494.7887153719</v>
          </cell>
        </row>
        <row r="37">
          <cell r="A37">
            <v>16</v>
          </cell>
          <cell r="B37">
            <v>8</v>
          </cell>
          <cell r="C37">
            <v>4</v>
          </cell>
          <cell r="D37">
            <v>1.3333333333333333</v>
          </cell>
          <cell r="E37">
            <v>9061156.5036285631</v>
          </cell>
        </row>
        <row r="38">
          <cell r="A38">
            <v>17</v>
          </cell>
          <cell r="B38">
            <v>8.5</v>
          </cell>
          <cell r="C38">
            <v>4.25</v>
          </cell>
          <cell r="D38">
            <v>1.4166666666666667</v>
          </cell>
          <cell r="E38">
            <v>9002862.7039238643</v>
          </cell>
        </row>
        <row r="39">
          <cell r="A39">
            <v>18</v>
          </cell>
          <cell r="B39">
            <v>9</v>
          </cell>
          <cell r="C39">
            <v>4.5</v>
          </cell>
          <cell r="D39">
            <v>1.5</v>
          </cell>
          <cell r="E39">
            <v>8944613.2539722975</v>
          </cell>
        </row>
        <row r="40">
          <cell r="A40">
            <v>19</v>
          </cell>
          <cell r="B40">
            <v>9.5</v>
          </cell>
          <cell r="C40">
            <v>4.75</v>
          </cell>
          <cell r="D40">
            <v>1.5833333333333333</v>
          </cell>
          <cell r="E40">
            <v>8886408.0182943977</v>
          </cell>
        </row>
        <row r="41">
          <cell r="A41">
            <v>20</v>
          </cell>
          <cell r="B41">
            <v>10</v>
          </cell>
          <cell r="C41">
            <v>5</v>
          </cell>
          <cell r="D41">
            <v>1.6666666666666667</v>
          </cell>
          <cell r="E41">
            <v>8828246.8615598697</v>
          </cell>
        </row>
        <row r="42">
          <cell r="A42">
            <v>21</v>
          </cell>
          <cell r="B42">
            <v>10.5</v>
          </cell>
          <cell r="C42">
            <v>5.25</v>
          </cell>
          <cell r="D42">
            <v>1.75</v>
          </cell>
          <cell r="E42">
            <v>8770129.6485872548</v>
          </cell>
        </row>
        <row r="43">
          <cell r="A43">
            <v>22</v>
          </cell>
          <cell r="B43">
            <v>11</v>
          </cell>
          <cell r="C43">
            <v>5.5</v>
          </cell>
          <cell r="D43">
            <v>1.8333333333333333</v>
          </cell>
          <cell r="E43">
            <v>8712056.2443435974</v>
          </cell>
        </row>
        <row r="44">
          <cell r="A44">
            <v>23</v>
          </cell>
          <cell r="B44">
            <v>11.5</v>
          </cell>
          <cell r="C44">
            <v>5.75</v>
          </cell>
          <cell r="D44">
            <v>1.9166666666666667</v>
          </cell>
          <cell r="E44">
            <v>8654026.5139441118</v>
          </cell>
        </row>
        <row r="45">
          <cell r="A45">
            <v>24</v>
          </cell>
          <cell r="B45">
            <v>12</v>
          </cell>
          <cell r="C45">
            <v>6</v>
          </cell>
          <cell r="D45">
            <v>2</v>
          </cell>
          <cell r="E45">
            <v>8596040.3226518389</v>
          </cell>
        </row>
        <row r="46">
          <cell r="A46">
            <v>25</v>
          </cell>
          <cell r="B46">
            <v>12.5</v>
          </cell>
          <cell r="C46">
            <v>6.25</v>
          </cell>
          <cell r="D46">
            <v>2.0833333333333335</v>
          </cell>
          <cell r="E46">
            <v>8538097.5358773246</v>
          </cell>
        </row>
        <row r="47">
          <cell r="A47">
            <v>26</v>
          </cell>
          <cell r="B47">
            <v>13</v>
          </cell>
          <cell r="C47">
            <v>6.5</v>
          </cell>
          <cell r="D47">
            <v>2.1666666666666665</v>
          </cell>
          <cell r="E47">
            <v>8480198.019178275</v>
          </cell>
        </row>
        <row r="48">
          <cell r="A48">
            <v>27</v>
          </cell>
          <cell r="B48">
            <v>13.5</v>
          </cell>
          <cell r="C48">
            <v>6.75</v>
          </cell>
          <cell r="D48">
            <v>2.25</v>
          </cell>
          <cell r="E48">
            <v>8422341.6382592302</v>
          </cell>
        </row>
        <row r="49">
          <cell r="A49">
            <v>28</v>
          </cell>
          <cell r="B49">
            <v>14</v>
          </cell>
          <cell r="C49">
            <v>7</v>
          </cell>
          <cell r="D49">
            <v>2.3333333333333335</v>
          </cell>
          <cell r="E49">
            <v>8364528.258971232</v>
          </cell>
        </row>
        <row r="50">
          <cell r="A50">
            <v>29</v>
          </cell>
          <cell r="B50">
            <v>14.5</v>
          </cell>
          <cell r="C50">
            <v>7.25</v>
          </cell>
          <cell r="D50">
            <v>2.4166666666666665</v>
          </cell>
          <cell r="E50">
            <v>8306757.7473114859</v>
          </cell>
        </row>
        <row r="51">
          <cell r="A51">
            <v>30</v>
          </cell>
          <cell r="B51">
            <v>15</v>
          </cell>
          <cell r="C51">
            <v>7.5</v>
          </cell>
          <cell r="D51">
            <v>2.5</v>
          </cell>
          <cell r="E51">
            <v>8249029.9694230352</v>
          </cell>
        </row>
        <row r="52">
          <cell r="A52">
            <v>31</v>
          </cell>
          <cell r="B52">
            <v>15.5</v>
          </cell>
          <cell r="C52">
            <v>7.75</v>
          </cell>
          <cell r="D52">
            <v>2.5833333333333335</v>
          </cell>
          <cell r="E52">
            <v>8191344.7915944252</v>
          </cell>
        </row>
        <row r="53">
          <cell r="A53">
            <v>32</v>
          </cell>
          <cell r="B53">
            <v>16</v>
          </cell>
          <cell r="C53">
            <v>8</v>
          </cell>
          <cell r="D53">
            <v>2.6666666666666665</v>
          </cell>
          <cell r="E53">
            <v>8133702.0802593781</v>
          </cell>
        </row>
        <row r="54">
          <cell r="A54">
            <v>33</v>
          </cell>
          <cell r="B54">
            <v>16.5</v>
          </cell>
          <cell r="C54">
            <v>8.25</v>
          </cell>
          <cell r="D54">
            <v>2.75</v>
          </cell>
          <cell r="E54">
            <v>8076101.701996455</v>
          </cell>
        </row>
        <row r="55">
          <cell r="A55">
            <v>34</v>
          </cell>
          <cell r="B55">
            <v>17</v>
          </cell>
          <cell r="C55">
            <v>8.5</v>
          </cell>
          <cell r="D55">
            <v>2.8333333333333335</v>
          </cell>
          <cell r="E55">
            <v>8018543.5235287324</v>
          </cell>
        </row>
        <row r="56">
          <cell r="A56">
            <v>35</v>
          </cell>
          <cell r="B56">
            <v>17.5</v>
          </cell>
          <cell r="C56">
            <v>8.75</v>
          </cell>
          <cell r="D56">
            <v>2.9166666666666665</v>
          </cell>
          <cell r="E56">
            <v>7961027.4117234685</v>
          </cell>
        </row>
        <row r="57">
          <cell r="A57">
            <v>36</v>
          </cell>
          <cell r="B57">
            <v>18</v>
          </cell>
          <cell r="C57">
            <v>9</v>
          </cell>
          <cell r="D57">
            <v>3</v>
          </cell>
          <cell r="E57">
            <v>7903553.2335917763</v>
          </cell>
        </row>
        <row r="58">
          <cell r="A58">
            <v>37</v>
          </cell>
          <cell r="B58">
            <v>18.5</v>
          </cell>
          <cell r="C58">
            <v>9.25</v>
          </cell>
          <cell r="D58">
            <v>3.0833333333333335</v>
          </cell>
          <cell r="E58">
            <v>7846120.8562882943</v>
          </cell>
        </row>
        <row r="59">
          <cell r="A59">
            <v>38</v>
          </cell>
          <cell r="B59">
            <v>19</v>
          </cell>
          <cell r="C59">
            <v>9.5</v>
          </cell>
          <cell r="D59">
            <v>3.1666666666666665</v>
          </cell>
          <cell r="E59">
            <v>7788730.1471108589</v>
          </cell>
        </row>
        <row r="60">
          <cell r="A60">
            <v>39</v>
          </cell>
          <cell r="B60">
            <v>19.5</v>
          </cell>
          <cell r="C60">
            <v>9.75</v>
          </cell>
          <cell r="D60">
            <v>3.25</v>
          </cell>
          <cell r="E60">
            <v>7731380.9735001745</v>
          </cell>
        </row>
        <row r="61">
          <cell r="A61">
            <v>40</v>
          </cell>
          <cell r="B61">
            <v>20</v>
          </cell>
          <cell r="C61">
            <v>10</v>
          </cell>
          <cell r="D61">
            <v>3.3333333333333335</v>
          </cell>
          <cell r="E61">
            <v>7674073.2030394878</v>
          </cell>
        </row>
        <row r="62">
          <cell r="A62">
            <v>41</v>
          </cell>
          <cell r="B62">
            <v>20.5</v>
          </cell>
          <cell r="C62">
            <v>10.25</v>
          </cell>
          <cell r="D62">
            <v>3.4166666666666665</v>
          </cell>
          <cell r="E62">
            <v>7616806.7034542616</v>
          </cell>
        </row>
        <row r="63">
          <cell r="A63">
            <v>42</v>
          </cell>
          <cell r="B63">
            <v>21</v>
          </cell>
          <cell r="C63">
            <v>10.5</v>
          </cell>
          <cell r="D63">
            <v>3.5</v>
          </cell>
          <cell r="E63">
            <v>7559581.3426118456</v>
          </cell>
        </row>
        <row r="64">
          <cell r="A64">
            <v>43</v>
          </cell>
          <cell r="B64">
            <v>21.5</v>
          </cell>
          <cell r="C64">
            <v>10.75</v>
          </cell>
          <cell r="D64">
            <v>3.5833333333333335</v>
          </cell>
          <cell r="E64">
            <v>7502396.9885211522</v>
          </cell>
        </row>
        <row r="65">
          <cell r="A65">
            <v>44</v>
          </cell>
          <cell r="B65">
            <v>22</v>
          </cell>
          <cell r="C65">
            <v>11</v>
          </cell>
          <cell r="D65">
            <v>3.6666666666666665</v>
          </cell>
          <cell r="E65">
            <v>7445253.5093323309</v>
          </cell>
        </row>
        <row r="66">
          <cell r="A66">
            <v>45</v>
          </cell>
          <cell r="B66">
            <v>22.5</v>
          </cell>
          <cell r="C66">
            <v>11.25</v>
          </cell>
          <cell r="D66">
            <v>3.75</v>
          </cell>
          <cell r="E66">
            <v>7388150.7733364431</v>
          </cell>
        </row>
        <row r="67">
          <cell r="A67">
            <v>46</v>
          </cell>
          <cell r="B67">
            <v>23</v>
          </cell>
          <cell r="C67">
            <v>11.5</v>
          </cell>
          <cell r="D67">
            <v>3.8333333333333335</v>
          </cell>
          <cell r="E67">
            <v>7331088.6489651352</v>
          </cell>
        </row>
        <row r="68">
          <cell r="A68">
            <v>47</v>
          </cell>
          <cell r="B68">
            <v>23.5</v>
          </cell>
          <cell r="C68">
            <v>11.75</v>
          </cell>
          <cell r="D68">
            <v>3.9166666666666665</v>
          </cell>
          <cell r="E68">
            <v>7274067.0047903154</v>
          </cell>
        </row>
        <row r="69">
          <cell r="A69">
            <v>48</v>
          </cell>
          <cell r="B69">
            <v>24</v>
          </cell>
          <cell r="C69">
            <v>12</v>
          </cell>
          <cell r="D69">
            <v>4</v>
          </cell>
          <cell r="E69">
            <v>7217085.7095238324</v>
          </cell>
        </row>
        <row r="70">
          <cell r="A70">
            <v>49</v>
          </cell>
          <cell r="B70">
            <v>24.5</v>
          </cell>
          <cell r="C70">
            <v>12.25</v>
          </cell>
          <cell r="D70">
            <v>4.083333333333333</v>
          </cell>
          <cell r="E70">
            <v>7160144.6320171496</v>
          </cell>
        </row>
        <row r="71">
          <cell r="A71">
            <v>50</v>
          </cell>
          <cell r="B71">
            <v>25</v>
          </cell>
          <cell r="C71">
            <v>12.5</v>
          </cell>
          <cell r="D71">
            <v>4.166666666666667</v>
          </cell>
          <cell r="E71">
            <v>7103243.6412610197</v>
          </cell>
        </row>
        <row r="72">
          <cell r="A72">
            <v>51</v>
          </cell>
          <cell r="B72">
            <v>25.5</v>
          </cell>
          <cell r="C72">
            <v>12.75</v>
          </cell>
          <cell r="D72">
            <v>4.25</v>
          </cell>
          <cell r="E72">
            <v>7046382.606385164</v>
          </cell>
        </row>
        <row r="73">
          <cell r="A73">
            <v>52</v>
          </cell>
          <cell r="B73">
            <v>26</v>
          </cell>
          <cell r="C73">
            <v>13</v>
          </cell>
          <cell r="D73">
            <v>4.333333333333333</v>
          </cell>
          <cell r="E73">
            <v>6989561.396657953</v>
          </cell>
        </row>
        <row r="74">
          <cell r="A74">
            <v>53</v>
          </cell>
          <cell r="B74">
            <v>26.5</v>
          </cell>
          <cell r="C74">
            <v>13.25</v>
          </cell>
          <cell r="D74">
            <v>4.416666666666667</v>
          </cell>
          <cell r="E74">
            <v>6932779.8814860797</v>
          </cell>
        </row>
        <row r="75">
          <cell r="A75">
            <v>54</v>
          </cell>
          <cell r="B75">
            <v>27</v>
          </cell>
          <cell r="C75">
            <v>13.5</v>
          </cell>
          <cell r="D75">
            <v>4.5</v>
          </cell>
          <cell r="E75">
            <v>6876037.9304142408</v>
          </cell>
        </row>
        <row r="76">
          <cell r="A76">
            <v>55</v>
          </cell>
          <cell r="B76">
            <v>27.5</v>
          </cell>
          <cell r="C76">
            <v>13.75</v>
          </cell>
          <cell r="D76">
            <v>4.583333333333333</v>
          </cell>
          <cell r="E76">
            <v>6819335.4131248156</v>
          </cell>
        </row>
        <row r="77">
          <cell r="A77">
            <v>56</v>
          </cell>
          <cell r="B77">
            <v>28</v>
          </cell>
          <cell r="C77">
            <v>14</v>
          </cell>
          <cell r="D77">
            <v>4.666666666666667</v>
          </cell>
          <cell r="E77">
            <v>6762672.1994375447</v>
          </cell>
        </row>
        <row r="78">
          <cell r="A78">
            <v>57</v>
          </cell>
          <cell r="B78">
            <v>28.5</v>
          </cell>
          <cell r="C78">
            <v>14.25</v>
          </cell>
          <cell r="D78">
            <v>4.75</v>
          </cell>
          <cell r="E78">
            <v>6706048.1593092093</v>
          </cell>
        </row>
        <row r="79">
          <cell r="A79">
            <v>58</v>
          </cell>
          <cell r="B79">
            <v>29</v>
          </cell>
          <cell r="C79">
            <v>14.5</v>
          </cell>
          <cell r="D79">
            <v>4.833333333333333</v>
          </cell>
          <cell r="E79">
            <v>6649463.1628333144</v>
          </cell>
        </row>
        <row r="80">
          <cell r="A80">
            <v>59</v>
          </cell>
          <cell r="B80">
            <v>29.5</v>
          </cell>
          <cell r="C80">
            <v>14.75</v>
          </cell>
          <cell r="D80">
            <v>4.916666666666667</v>
          </cell>
          <cell r="E80">
            <v>6592917.0802397653</v>
          </cell>
        </row>
        <row r="81">
          <cell r="A81">
            <v>60</v>
          </cell>
          <cell r="B81">
            <v>30</v>
          </cell>
          <cell r="C81">
            <v>15</v>
          </cell>
          <cell r="D81">
            <v>5</v>
          </cell>
          <cell r="E81">
            <v>6536409.7818945507</v>
          </cell>
        </row>
        <row r="82">
          <cell r="A82">
            <v>61</v>
          </cell>
          <cell r="B82">
            <v>30.5</v>
          </cell>
          <cell r="C82">
            <v>15.25</v>
          </cell>
          <cell r="D82">
            <v>5.083333333333333</v>
          </cell>
          <cell r="E82">
            <v>6479941.1382994261</v>
          </cell>
        </row>
        <row r="83">
          <cell r="A83">
            <v>62</v>
          </cell>
          <cell r="B83">
            <v>31</v>
          </cell>
          <cell r="C83">
            <v>15.5</v>
          </cell>
          <cell r="D83">
            <v>5.166666666666667</v>
          </cell>
          <cell r="E83">
            <v>6423511.0200915914</v>
          </cell>
        </row>
        <row r="84">
          <cell r="A84">
            <v>63</v>
          </cell>
          <cell r="B84">
            <v>31.5</v>
          </cell>
          <cell r="C84">
            <v>15.75</v>
          </cell>
          <cell r="D84">
            <v>5.25</v>
          </cell>
          <cell r="E84">
            <v>6367119.2980433758</v>
          </cell>
        </row>
        <row r="85">
          <cell r="A85">
            <v>64</v>
          </cell>
          <cell r="B85">
            <v>32</v>
          </cell>
          <cell r="C85">
            <v>16</v>
          </cell>
          <cell r="D85">
            <v>5.333333333333333</v>
          </cell>
          <cell r="E85">
            <v>6310765.8430619221</v>
          </cell>
        </row>
        <row r="86">
          <cell r="A86">
            <v>65</v>
          </cell>
          <cell r="B86">
            <v>32.5</v>
          </cell>
          <cell r="C86">
            <v>16.25</v>
          </cell>
          <cell r="D86">
            <v>5.416666666666667</v>
          </cell>
          <cell r="E86">
            <v>6254450.5261888653</v>
          </cell>
        </row>
        <row r="87">
          <cell r="A87">
            <v>66</v>
          </cell>
          <cell r="B87">
            <v>33</v>
          </cell>
          <cell r="C87">
            <v>16.5</v>
          </cell>
          <cell r="D87">
            <v>5.5</v>
          </cell>
          <cell r="E87">
            <v>6198173.2186000217</v>
          </cell>
        </row>
        <row r="88">
          <cell r="A88">
            <v>67</v>
          </cell>
          <cell r="B88">
            <v>33.5</v>
          </cell>
          <cell r="C88">
            <v>16.75</v>
          </cell>
          <cell r="D88">
            <v>5.583333333333333</v>
          </cell>
          <cell r="E88">
            <v>6141933.7916050665</v>
          </cell>
        </row>
        <row r="89">
          <cell r="A89">
            <v>68</v>
          </cell>
          <cell r="B89">
            <v>34</v>
          </cell>
          <cell r="C89">
            <v>17</v>
          </cell>
          <cell r="D89">
            <v>5.666666666666667</v>
          </cell>
          <cell r="E89">
            <v>6085732.1166472249</v>
          </cell>
        </row>
        <row r="90">
          <cell r="A90">
            <v>69</v>
          </cell>
          <cell r="B90">
            <v>34.5</v>
          </cell>
          <cell r="C90">
            <v>17.25</v>
          </cell>
          <cell r="D90">
            <v>5.75</v>
          </cell>
          <cell r="E90">
            <v>6029568.0653029522</v>
          </cell>
        </row>
        <row r="91">
          <cell r="A91">
            <v>70</v>
          </cell>
          <cell r="B91">
            <v>35</v>
          </cell>
          <cell r="C91">
            <v>17.5</v>
          </cell>
          <cell r="D91">
            <v>5.833333333333333</v>
          </cell>
          <cell r="E91">
            <v>5973441.5092816204</v>
          </cell>
        </row>
        <row r="92">
          <cell r="A92">
            <v>71</v>
          </cell>
          <cell r="B92">
            <v>35.5</v>
          </cell>
          <cell r="C92">
            <v>17.75</v>
          </cell>
          <cell r="D92">
            <v>5.916666666666667</v>
          </cell>
          <cell r="E92">
            <v>5917352.3204252021</v>
          </cell>
        </row>
        <row r="93">
          <cell r="A93">
            <v>72</v>
          </cell>
          <cell r="B93">
            <v>36</v>
          </cell>
          <cell r="C93">
            <v>18</v>
          </cell>
          <cell r="D93">
            <v>6</v>
          </cell>
          <cell r="E93">
            <v>5861300.3707079608</v>
          </cell>
        </row>
        <row r="94">
          <cell r="A94">
            <v>73</v>
          </cell>
          <cell r="B94">
            <v>36.5</v>
          </cell>
          <cell r="C94">
            <v>18.25</v>
          </cell>
          <cell r="D94">
            <v>6.083333333333333</v>
          </cell>
          <cell r="E94">
            <v>5805285.5322361337</v>
          </cell>
        </row>
        <row r="95">
          <cell r="A95">
            <v>74</v>
          </cell>
          <cell r="B95">
            <v>37</v>
          </cell>
          <cell r="C95">
            <v>18.5</v>
          </cell>
          <cell r="D95">
            <v>6.166666666666667</v>
          </cell>
          <cell r="E95">
            <v>5749307.6772476193</v>
          </cell>
        </row>
        <row r="96">
          <cell r="A96">
            <v>75</v>
          </cell>
          <cell r="B96">
            <v>37.5</v>
          </cell>
          <cell r="C96">
            <v>18.75</v>
          </cell>
          <cell r="D96">
            <v>6.25</v>
          </cell>
          <cell r="E96">
            <v>5693366.6781116631</v>
          </cell>
        </row>
        <row r="97">
          <cell r="A97">
            <v>76</v>
          </cell>
          <cell r="B97">
            <v>38</v>
          </cell>
          <cell r="C97">
            <v>19</v>
          </cell>
          <cell r="D97">
            <v>6.333333333333333</v>
          </cell>
          <cell r="E97">
            <v>5637462.4073285498</v>
          </cell>
        </row>
        <row r="98">
          <cell r="A98">
            <v>77</v>
          </cell>
          <cell r="B98">
            <v>38.5</v>
          </cell>
          <cell r="C98">
            <v>19.25</v>
          </cell>
          <cell r="D98">
            <v>6.416666666666667</v>
          </cell>
          <cell r="E98">
            <v>5581594.7375292843</v>
          </cell>
        </row>
        <row r="99">
          <cell r="A99">
            <v>78</v>
          </cell>
          <cell r="B99">
            <v>39</v>
          </cell>
          <cell r="C99">
            <v>19.5</v>
          </cell>
          <cell r="D99">
            <v>6.5</v>
          </cell>
          <cell r="E99">
            <v>5525763.5414752886</v>
          </cell>
        </row>
        <row r="100">
          <cell r="A100">
            <v>79</v>
          </cell>
          <cell r="B100">
            <v>39.5</v>
          </cell>
          <cell r="C100">
            <v>19.75</v>
          </cell>
          <cell r="D100">
            <v>6.583333333333333</v>
          </cell>
          <cell r="E100">
            <v>5469968.6920580827</v>
          </cell>
        </row>
        <row r="101">
          <cell r="A101">
            <v>80</v>
          </cell>
          <cell r="B101">
            <v>40</v>
          </cell>
          <cell r="C101">
            <v>20</v>
          </cell>
          <cell r="D101">
            <v>6.666666666666667</v>
          </cell>
          <cell r="E101">
            <v>5414210.0622989787</v>
          </cell>
        </row>
        <row r="102">
          <cell r="A102">
            <v>81</v>
          </cell>
          <cell r="B102">
            <v>40.5</v>
          </cell>
          <cell r="C102">
            <v>20.25</v>
          </cell>
          <cell r="D102">
            <v>6.75</v>
          </cell>
          <cell r="E102">
            <v>5358487.5253487676</v>
          </cell>
        </row>
        <row r="103">
          <cell r="A103">
            <v>82</v>
          </cell>
          <cell r="B103">
            <v>41</v>
          </cell>
          <cell r="C103">
            <v>20.5</v>
          </cell>
          <cell r="D103">
            <v>6.833333333333333</v>
          </cell>
          <cell r="E103">
            <v>5302800.9544874122</v>
          </cell>
        </row>
        <row r="104">
          <cell r="A104">
            <v>83</v>
          </cell>
          <cell r="B104">
            <v>41.5</v>
          </cell>
          <cell r="C104">
            <v>20.75</v>
          </cell>
          <cell r="D104">
            <v>6.916666666666667</v>
          </cell>
          <cell r="E104">
            <v>5247150.2231237348</v>
          </cell>
        </row>
        <row r="105">
          <cell r="A105">
            <v>84</v>
          </cell>
          <cell r="B105">
            <v>42</v>
          </cell>
          <cell r="C105">
            <v>21</v>
          </cell>
          <cell r="D105">
            <v>7</v>
          </cell>
          <cell r="E105">
            <v>5191535.2047951091</v>
          </cell>
        </row>
        <row r="106">
          <cell r="A106">
            <v>85</v>
          </cell>
          <cell r="B106">
            <v>42.5</v>
          </cell>
          <cell r="C106">
            <v>21.25</v>
          </cell>
          <cell r="D106">
            <v>7.083333333333333</v>
          </cell>
          <cell r="E106">
            <v>5135955.773167151</v>
          </cell>
        </row>
        <row r="107">
          <cell r="A107">
            <v>86</v>
          </cell>
          <cell r="B107">
            <v>43</v>
          </cell>
          <cell r="C107">
            <v>21.5</v>
          </cell>
          <cell r="D107">
            <v>7.166666666666667</v>
          </cell>
          <cell r="E107">
            <v>5080411.8020334123</v>
          </cell>
        </row>
        <row r="108">
          <cell r="A108">
            <v>87</v>
          </cell>
          <cell r="B108">
            <v>43.5</v>
          </cell>
          <cell r="C108">
            <v>21.75</v>
          </cell>
          <cell r="D108">
            <v>7.25</v>
          </cell>
          <cell r="E108">
            <v>5024903.1653150674</v>
          </cell>
        </row>
        <row r="109">
          <cell r="A109">
            <v>88</v>
          </cell>
          <cell r="B109">
            <v>44</v>
          </cell>
          <cell r="C109">
            <v>22</v>
          </cell>
          <cell r="D109">
            <v>7.333333333333333</v>
          </cell>
          <cell r="E109">
            <v>4969429.737060613</v>
          </cell>
        </row>
        <row r="110">
          <cell r="A110">
            <v>89</v>
          </cell>
          <cell r="B110">
            <v>44.5</v>
          </cell>
          <cell r="C110">
            <v>22.25</v>
          </cell>
          <cell r="D110">
            <v>7.416666666666667</v>
          </cell>
          <cell r="E110">
            <v>4913991.3914455548</v>
          </cell>
        </row>
        <row r="111">
          <cell r="A111">
            <v>90</v>
          </cell>
          <cell r="B111">
            <v>45</v>
          </cell>
          <cell r="C111">
            <v>22.5</v>
          </cell>
          <cell r="D111">
            <v>7.5</v>
          </cell>
          <cell r="E111">
            <v>4858588.002772104</v>
          </cell>
        </row>
        <row r="112">
          <cell r="A112">
            <v>91</v>
          </cell>
          <cell r="B112">
            <v>45.5</v>
          </cell>
          <cell r="C112">
            <v>22.75</v>
          </cell>
          <cell r="D112">
            <v>7.583333333333333</v>
          </cell>
          <cell r="E112">
            <v>4803219.4454688672</v>
          </cell>
        </row>
        <row r="113">
          <cell r="A113">
            <v>92</v>
          </cell>
          <cell r="B113">
            <v>46</v>
          </cell>
          <cell r="C113">
            <v>23</v>
          </cell>
          <cell r="D113">
            <v>7.666666666666667</v>
          </cell>
          <cell r="E113">
            <v>4747885.5940905465</v>
          </cell>
        </row>
        <row r="114">
          <cell r="A114">
            <v>93</v>
          </cell>
          <cell r="B114">
            <v>46.5</v>
          </cell>
          <cell r="C114">
            <v>23.25</v>
          </cell>
          <cell r="D114">
            <v>7.75</v>
          </cell>
          <cell r="E114">
            <v>4692586.3233176265</v>
          </cell>
        </row>
        <row r="115">
          <cell r="A115">
            <v>94</v>
          </cell>
          <cell r="B115">
            <v>47</v>
          </cell>
          <cell r="C115">
            <v>23.5</v>
          </cell>
          <cell r="D115">
            <v>7.833333333333333</v>
          </cell>
          <cell r="E115">
            <v>4637321.5079560746</v>
          </cell>
        </row>
        <row r="116">
          <cell r="A116">
            <v>95</v>
          </cell>
          <cell r="B116">
            <v>47.5</v>
          </cell>
          <cell r="C116">
            <v>23.75</v>
          </cell>
          <cell r="D116">
            <v>7.916666666666667</v>
          </cell>
          <cell r="E116">
            <v>4582091.0229370343</v>
          </cell>
        </row>
        <row r="117">
          <cell r="A117">
            <v>96</v>
          </cell>
          <cell r="B117">
            <v>48</v>
          </cell>
          <cell r="C117">
            <v>24</v>
          </cell>
          <cell r="D117">
            <v>8</v>
          </cell>
          <cell r="E117">
            <v>4526894.7433165191</v>
          </cell>
        </row>
        <row r="118">
          <cell r="A118">
            <v>97</v>
          </cell>
          <cell r="B118">
            <v>48.5</v>
          </cell>
          <cell r="C118">
            <v>24.25</v>
          </cell>
          <cell r="D118">
            <v>8.0833333333333339</v>
          </cell>
          <cell r="E118">
            <v>4471732.5442751115</v>
          </cell>
        </row>
        <row r="119">
          <cell r="A119">
            <v>98</v>
          </cell>
          <cell r="B119">
            <v>49</v>
          </cell>
          <cell r="C119">
            <v>24.5</v>
          </cell>
          <cell r="D119">
            <v>8.1666666666666661</v>
          </cell>
          <cell r="E119">
            <v>4416604.3011176558</v>
          </cell>
        </row>
        <row r="120">
          <cell r="A120">
            <v>99</v>
          </cell>
          <cell r="B120">
            <v>49.5</v>
          </cell>
          <cell r="C120">
            <v>24.75</v>
          </cell>
          <cell r="D120">
            <v>8.25</v>
          </cell>
          <cell r="E120">
            <v>4361509.889272958</v>
          </cell>
        </row>
        <row r="121">
          <cell r="A121">
            <v>100</v>
          </cell>
          <cell r="B121">
            <v>50</v>
          </cell>
          <cell r="C121">
            <v>25</v>
          </cell>
          <cell r="D121">
            <v>8.3333333333333339</v>
          </cell>
          <cell r="E121">
            <v>4306449.1842934806</v>
          </cell>
        </row>
        <row r="122">
          <cell r="A122">
            <v>101</v>
          </cell>
          <cell r="B122">
            <v>50.5</v>
          </cell>
          <cell r="C122">
            <v>25.25</v>
          </cell>
          <cell r="D122">
            <v>8.4166666666666661</v>
          </cell>
          <cell r="E122">
            <v>4251422.0618550386</v>
          </cell>
        </row>
        <row r="123">
          <cell r="A123">
            <v>102</v>
          </cell>
          <cell r="B123">
            <v>51</v>
          </cell>
          <cell r="C123">
            <v>25.5</v>
          </cell>
          <cell r="D123">
            <v>8.5</v>
          </cell>
          <cell r="E123">
            <v>4196428.397756503</v>
          </cell>
        </row>
        <row r="124">
          <cell r="A124">
            <v>103</v>
          </cell>
          <cell r="B124">
            <v>51.5</v>
          </cell>
          <cell r="C124">
            <v>25.75</v>
          </cell>
          <cell r="D124">
            <v>8.5833333333333339</v>
          </cell>
          <cell r="E124">
            <v>4141468.0679194923</v>
          </cell>
        </row>
        <row r="125">
          <cell r="A125">
            <v>104</v>
          </cell>
          <cell r="B125">
            <v>52</v>
          </cell>
          <cell r="C125">
            <v>26</v>
          </cell>
          <cell r="D125">
            <v>8.6666666666666661</v>
          </cell>
          <cell r="E125">
            <v>4086540.9483880759</v>
          </cell>
        </row>
        <row r="126">
          <cell r="A126">
            <v>105</v>
          </cell>
          <cell r="B126">
            <v>52.5</v>
          </cell>
          <cell r="C126">
            <v>26.25</v>
          </cell>
          <cell r="D126">
            <v>8.75</v>
          </cell>
          <cell r="E126">
            <v>4031646.9153284701</v>
          </cell>
        </row>
        <row r="127">
          <cell r="A127">
            <v>106</v>
          </cell>
          <cell r="B127">
            <v>53</v>
          </cell>
          <cell r="C127">
            <v>26.5</v>
          </cell>
          <cell r="D127">
            <v>8.8333333333333339</v>
          </cell>
          <cell r="E127">
            <v>3976785.845028739</v>
          </cell>
        </row>
        <row r="128">
          <cell r="A128">
            <v>107</v>
          </cell>
          <cell r="B128">
            <v>53.5</v>
          </cell>
          <cell r="C128">
            <v>26.75</v>
          </cell>
          <cell r="D128">
            <v>8.9166666666666661</v>
          </cell>
          <cell r="E128">
            <v>3921957.6138984929</v>
          </cell>
        </row>
        <row r="129">
          <cell r="A129">
            <v>108</v>
          </cell>
          <cell r="B129">
            <v>54</v>
          </cell>
          <cell r="C129">
            <v>27</v>
          </cell>
          <cell r="D129">
            <v>9</v>
          </cell>
          <cell r="E129">
            <v>3867162.0984685901</v>
          </cell>
        </row>
        <row r="130">
          <cell r="A130">
            <v>109</v>
          </cell>
          <cell r="B130">
            <v>54.5</v>
          </cell>
          <cell r="C130">
            <v>27.25</v>
          </cell>
          <cell r="D130">
            <v>9.0833333333333339</v>
          </cell>
          <cell r="E130">
            <v>3812399.1753908354</v>
          </cell>
        </row>
        <row r="131">
          <cell r="A131">
            <v>110</v>
          </cell>
          <cell r="B131">
            <v>55</v>
          </cell>
          <cell r="C131">
            <v>27.5</v>
          </cell>
          <cell r="D131">
            <v>9.1666666666666661</v>
          </cell>
          <cell r="E131">
            <v>3757668.7214376824</v>
          </cell>
        </row>
        <row r="132">
          <cell r="A132">
            <v>111</v>
          </cell>
          <cell r="B132">
            <v>55.5</v>
          </cell>
          <cell r="C132">
            <v>27.75</v>
          </cell>
          <cell r="D132">
            <v>9.25</v>
          </cell>
          <cell r="E132">
            <v>3702970.6135019339</v>
          </cell>
        </row>
        <row r="133">
          <cell r="A133">
            <v>112</v>
          </cell>
          <cell r="B133">
            <v>56</v>
          </cell>
          <cell r="C133">
            <v>28</v>
          </cell>
          <cell r="D133">
            <v>9.3333333333333339</v>
          </cell>
          <cell r="E133">
            <v>3648304.7285964433</v>
          </cell>
        </row>
        <row r="134">
          <cell r="A134">
            <v>113</v>
          </cell>
          <cell r="B134">
            <v>56.5</v>
          </cell>
          <cell r="C134">
            <v>28.25</v>
          </cell>
          <cell r="D134">
            <v>9.4166666666666661</v>
          </cell>
          <cell r="E134">
            <v>3593670.9438538179</v>
          </cell>
        </row>
        <row r="135">
          <cell r="A135">
            <v>114</v>
          </cell>
          <cell r="B135">
            <v>57</v>
          </cell>
          <cell r="C135">
            <v>28.5</v>
          </cell>
          <cell r="D135">
            <v>9.5</v>
          </cell>
          <cell r="E135">
            <v>3539069.136526119</v>
          </cell>
        </row>
        <row r="136">
          <cell r="A136">
            <v>115</v>
          </cell>
          <cell r="B136">
            <v>57.5</v>
          </cell>
          <cell r="C136">
            <v>28.75</v>
          </cell>
          <cell r="D136">
            <v>9.5833333333333339</v>
          </cell>
          <cell r="E136">
            <v>3484499.183984566</v>
          </cell>
        </row>
        <row r="137">
          <cell r="A137">
            <v>116</v>
          </cell>
          <cell r="B137">
            <v>58</v>
          </cell>
          <cell r="C137">
            <v>29</v>
          </cell>
          <cell r="D137">
            <v>9.6666666666666661</v>
          </cell>
          <cell r="E137">
            <v>3429960.9637192404</v>
          </cell>
        </row>
        <row r="138">
          <cell r="A138">
            <v>117</v>
          </cell>
          <cell r="B138">
            <v>58.5</v>
          </cell>
          <cell r="C138">
            <v>29.25</v>
          </cell>
          <cell r="D138">
            <v>9.75</v>
          </cell>
          <cell r="E138">
            <v>3375454.3533387864</v>
          </cell>
        </row>
        <row r="139">
          <cell r="A139">
            <v>118</v>
          </cell>
          <cell r="B139">
            <v>59</v>
          </cell>
          <cell r="C139">
            <v>29.5</v>
          </cell>
          <cell r="D139">
            <v>9.8333333333333339</v>
          </cell>
          <cell r="E139">
            <v>3320979.230570117</v>
          </cell>
        </row>
        <row r="140">
          <cell r="A140">
            <v>119</v>
          </cell>
          <cell r="B140">
            <v>59.5</v>
          </cell>
          <cell r="C140">
            <v>29.75</v>
          </cell>
          <cell r="D140">
            <v>9.9166666666666661</v>
          </cell>
          <cell r="E140">
            <v>3266535.4732581177</v>
          </cell>
        </row>
        <row r="141">
          <cell r="A141">
            <v>120</v>
          </cell>
          <cell r="B141">
            <v>60</v>
          </cell>
          <cell r="C141">
            <v>30</v>
          </cell>
          <cell r="D141">
            <v>10</v>
          </cell>
          <cell r="E141">
            <v>3212122.9593653502</v>
          </cell>
        </row>
        <row r="142">
          <cell r="A142">
            <v>121</v>
          </cell>
          <cell r="B142">
            <v>60.5</v>
          </cell>
          <cell r="C142">
            <v>30.25</v>
          </cell>
          <cell r="D142">
            <v>10.083333333333334</v>
          </cell>
          <cell r="E142">
            <v>3157741.5669717588</v>
          </cell>
        </row>
        <row r="143">
          <cell r="A143">
            <v>122</v>
          </cell>
          <cell r="B143">
            <v>61</v>
          </cell>
          <cell r="C143">
            <v>30.5</v>
          </cell>
          <cell r="D143">
            <v>10.166666666666666</v>
          </cell>
          <cell r="E143">
            <v>3103391.1742743743</v>
          </cell>
        </row>
        <row r="144">
          <cell r="A144">
            <v>123</v>
          </cell>
          <cell r="B144">
            <v>61.5</v>
          </cell>
          <cell r="C144">
            <v>30.75</v>
          </cell>
          <cell r="D144">
            <v>10.25</v>
          </cell>
          <cell r="E144">
            <v>3049071.6595870191</v>
          </cell>
        </row>
        <row r="145">
          <cell r="A145">
            <v>124</v>
          </cell>
          <cell r="B145">
            <v>62</v>
          </cell>
          <cell r="C145">
            <v>31</v>
          </cell>
          <cell r="D145">
            <v>10.333333333333334</v>
          </cell>
          <cell r="E145">
            <v>2994782.9013400162</v>
          </cell>
        </row>
        <row r="146">
          <cell r="A146">
            <v>125</v>
          </cell>
          <cell r="B146">
            <v>62.5</v>
          </cell>
          <cell r="C146">
            <v>31.25</v>
          </cell>
          <cell r="D146">
            <v>10.416666666666666</v>
          </cell>
          <cell r="E146">
            <v>2940524.7780798916</v>
          </cell>
        </row>
        <row r="147">
          <cell r="A147">
            <v>126</v>
          </cell>
          <cell r="B147">
            <v>63</v>
          </cell>
          <cell r="C147">
            <v>31.5</v>
          </cell>
          <cell r="D147">
            <v>10.5</v>
          </cell>
          <cell r="E147">
            <v>2886297.1684690835</v>
          </cell>
        </row>
        <row r="148">
          <cell r="A148">
            <v>127</v>
          </cell>
          <cell r="B148">
            <v>63.5</v>
          </cell>
          <cell r="C148">
            <v>31.75</v>
          </cell>
          <cell r="D148">
            <v>10.583333333333334</v>
          </cell>
          <cell r="E148">
            <v>2832099.9512856491</v>
          </cell>
        </row>
        <row r="149">
          <cell r="A149">
            <v>128</v>
          </cell>
          <cell r="B149">
            <v>64</v>
          </cell>
          <cell r="C149">
            <v>32</v>
          </cell>
          <cell r="D149">
            <v>10.666666666666666</v>
          </cell>
          <cell r="E149">
            <v>2777933.0054229717</v>
          </cell>
        </row>
        <row r="150">
          <cell r="A150">
            <v>129</v>
          </cell>
          <cell r="B150">
            <v>64.5</v>
          </cell>
          <cell r="C150">
            <v>32.25</v>
          </cell>
          <cell r="D150">
            <v>10.75</v>
          </cell>
          <cell r="E150">
            <v>2723796.2098894683</v>
          </cell>
        </row>
        <row r="151">
          <cell r="A151">
            <v>130</v>
          </cell>
          <cell r="B151">
            <v>65</v>
          </cell>
          <cell r="C151">
            <v>32.5</v>
          </cell>
          <cell r="D151">
            <v>10.833333333333334</v>
          </cell>
          <cell r="E151">
            <v>2669689.4438082981</v>
          </cell>
        </row>
        <row r="152">
          <cell r="A152">
            <v>131</v>
          </cell>
          <cell r="B152">
            <v>65.5</v>
          </cell>
          <cell r="C152">
            <v>32.75</v>
          </cell>
          <cell r="D152">
            <v>10.916666666666666</v>
          </cell>
          <cell r="E152">
            <v>2615612.5864170711</v>
          </cell>
        </row>
        <row r="153">
          <cell r="A153">
            <v>132</v>
          </cell>
          <cell r="B153">
            <v>66</v>
          </cell>
          <cell r="C153">
            <v>33</v>
          </cell>
          <cell r="D153">
            <v>11</v>
          </cell>
          <cell r="E153">
            <v>2561565.5170675567</v>
          </cell>
        </row>
        <row r="154">
          <cell r="A154">
            <v>133</v>
          </cell>
          <cell r="B154">
            <v>66.5</v>
          </cell>
          <cell r="C154">
            <v>33.25</v>
          </cell>
          <cell r="D154">
            <v>11.083333333333334</v>
          </cell>
          <cell r="E154">
            <v>2507548.1152253929</v>
          </cell>
        </row>
        <row r="155">
          <cell r="A155">
            <v>134</v>
          </cell>
          <cell r="B155">
            <v>67</v>
          </cell>
          <cell r="C155">
            <v>33.5</v>
          </cell>
          <cell r="D155">
            <v>11.166666666666666</v>
          </cell>
          <cell r="E155">
            <v>2453560.2604697961</v>
          </cell>
        </row>
        <row r="156">
          <cell r="A156">
            <v>135</v>
          </cell>
          <cell r="B156">
            <v>67.5</v>
          </cell>
          <cell r="C156">
            <v>33.75</v>
          </cell>
          <cell r="D156">
            <v>11.25</v>
          </cell>
          <cell r="E156">
            <v>2399601.8324932712</v>
          </cell>
        </row>
        <row r="157">
          <cell r="A157">
            <v>136</v>
          </cell>
          <cell r="B157">
            <v>68</v>
          </cell>
          <cell r="C157">
            <v>34</v>
          </cell>
          <cell r="D157">
            <v>11.333333333333334</v>
          </cell>
          <cell r="E157">
            <v>2345672.7111013215</v>
          </cell>
        </row>
        <row r="158">
          <cell r="A158">
            <v>137</v>
          </cell>
          <cell r="B158">
            <v>68.5</v>
          </cell>
          <cell r="C158">
            <v>34.25</v>
          </cell>
          <cell r="D158">
            <v>11.416666666666666</v>
          </cell>
          <cell r="E158">
            <v>2291772.7762121595</v>
          </cell>
        </row>
        <row r="159">
          <cell r="A159">
            <v>138</v>
          </cell>
          <cell r="B159">
            <v>69</v>
          </cell>
          <cell r="C159">
            <v>34.5</v>
          </cell>
          <cell r="D159">
            <v>11.5</v>
          </cell>
          <cell r="E159">
            <v>2237901.9078564183</v>
          </cell>
        </row>
        <row r="160">
          <cell r="A160">
            <v>139</v>
          </cell>
          <cell r="B160">
            <v>69.5</v>
          </cell>
          <cell r="C160">
            <v>34.75</v>
          </cell>
          <cell r="D160">
            <v>11.583333333333334</v>
          </cell>
          <cell r="E160">
            <v>2184059.9861768628</v>
          </cell>
        </row>
        <row r="161">
          <cell r="A161">
            <v>140</v>
          </cell>
          <cell r="B161">
            <v>70</v>
          </cell>
          <cell r="C161">
            <v>35</v>
          </cell>
          <cell r="D161">
            <v>11.666666666666666</v>
          </cell>
          <cell r="E161">
            <v>2130246.8914281009</v>
          </cell>
        </row>
        <row r="162">
          <cell r="A162">
            <v>141</v>
          </cell>
          <cell r="B162">
            <v>70.5</v>
          </cell>
          <cell r="C162">
            <v>35.25</v>
          </cell>
          <cell r="D162">
            <v>11.75</v>
          </cell>
          <cell r="E162">
            <v>2076462.5039762964</v>
          </cell>
        </row>
        <row r="163">
          <cell r="A163">
            <v>142</v>
          </cell>
          <cell r="B163">
            <v>71</v>
          </cell>
          <cell r="C163">
            <v>35.5</v>
          </cell>
          <cell r="D163">
            <v>11.833333333333334</v>
          </cell>
          <cell r="E163">
            <v>2022706.7042988809</v>
          </cell>
        </row>
        <row r="164">
          <cell r="A164">
            <v>143</v>
          </cell>
          <cell r="B164">
            <v>71.5</v>
          </cell>
          <cell r="C164">
            <v>35.75</v>
          </cell>
          <cell r="D164">
            <v>11.916666666666666</v>
          </cell>
          <cell r="E164">
            <v>1968979.3729842664</v>
          </cell>
        </row>
        <row r="165">
          <cell r="A165">
            <v>144</v>
          </cell>
          <cell r="B165">
            <v>72</v>
          </cell>
          <cell r="C165">
            <v>36</v>
          </cell>
          <cell r="D165">
            <v>12</v>
          </cell>
          <cell r="E165">
            <v>1915280.3907315587</v>
          </cell>
        </row>
        <row r="166">
          <cell r="A166">
            <v>145</v>
          </cell>
          <cell r="B166">
            <v>72.5</v>
          </cell>
          <cell r="C166">
            <v>36.25</v>
          </cell>
          <cell r="D166">
            <v>12.083333333333334</v>
          </cell>
          <cell r="E166">
            <v>1861609.6383502719</v>
          </cell>
        </row>
        <row r="167">
          <cell r="A167">
            <v>146</v>
          </cell>
          <cell r="B167">
            <v>73</v>
          </cell>
          <cell r="C167">
            <v>36.5</v>
          </cell>
          <cell r="D167">
            <v>12.166666666666666</v>
          </cell>
          <cell r="E167">
            <v>1807966.9967600401</v>
          </cell>
        </row>
        <row r="168">
          <cell r="A168">
            <v>147</v>
          </cell>
          <cell r="B168">
            <v>73.5</v>
          </cell>
          <cell r="C168">
            <v>36.75</v>
          </cell>
          <cell r="D168">
            <v>12.25</v>
          </cell>
          <cell r="E168">
            <v>1754352.3469903332</v>
          </cell>
        </row>
        <row r="169">
          <cell r="A169">
            <v>148</v>
          </cell>
          <cell r="B169">
            <v>74</v>
          </cell>
          <cell r="C169">
            <v>37</v>
          </cell>
          <cell r="D169">
            <v>12.333333333333334</v>
          </cell>
          <cell r="E169">
            <v>1700765.5701801712</v>
          </cell>
        </row>
        <row r="170">
          <cell r="A170">
            <v>149</v>
          </cell>
          <cell r="B170">
            <v>74.5</v>
          </cell>
          <cell r="C170">
            <v>37.25</v>
          </cell>
          <cell r="D170">
            <v>12.416666666666666</v>
          </cell>
          <cell r="E170">
            <v>1647206.5475778389</v>
          </cell>
        </row>
        <row r="171">
          <cell r="A171">
            <v>150</v>
          </cell>
          <cell r="B171">
            <v>75</v>
          </cell>
          <cell r="C171">
            <v>37.5</v>
          </cell>
          <cell r="D171">
            <v>12.5</v>
          </cell>
          <cell r="E171">
            <v>1593675.1605406005</v>
          </cell>
        </row>
        <row r="172">
          <cell r="A172">
            <v>151</v>
          </cell>
          <cell r="B172">
            <v>75.5</v>
          </cell>
          <cell r="C172">
            <v>37.75</v>
          </cell>
          <cell r="D172">
            <v>12.583333333333334</v>
          </cell>
          <cell r="E172">
            <v>1540171.2905344164</v>
          </cell>
        </row>
        <row r="173">
          <cell r="A173">
            <v>152</v>
          </cell>
          <cell r="B173">
            <v>76</v>
          </cell>
          <cell r="C173">
            <v>38</v>
          </cell>
          <cell r="D173">
            <v>12.666666666666666</v>
          </cell>
          <cell r="E173">
            <v>1486694.8191336582</v>
          </cell>
        </row>
        <row r="174">
          <cell r="A174">
            <v>153</v>
          </cell>
          <cell r="B174">
            <v>76.5</v>
          </cell>
          <cell r="C174">
            <v>38.25</v>
          </cell>
          <cell r="D174">
            <v>12.75</v>
          </cell>
          <cell r="E174">
            <v>1433245.6280208249</v>
          </cell>
        </row>
        <row r="175">
          <cell r="A175">
            <v>154</v>
          </cell>
          <cell r="B175">
            <v>77</v>
          </cell>
          <cell r="C175">
            <v>38.5</v>
          </cell>
          <cell r="D175">
            <v>12.833333333333334</v>
          </cell>
          <cell r="E175">
            <v>1379823.5989862601</v>
          </cell>
        </row>
        <row r="176">
          <cell r="A176">
            <v>155</v>
          </cell>
          <cell r="B176">
            <v>77.5</v>
          </cell>
          <cell r="C176">
            <v>38.75</v>
          </cell>
          <cell r="D176">
            <v>12.916666666666666</v>
          </cell>
          <cell r="E176">
            <v>1326428.6139278694</v>
          </cell>
        </row>
        <row r="177">
          <cell r="A177">
            <v>156</v>
          </cell>
          <cell r="B177">
            <v>78</v>
          </cell>
          <cell r="C177">
            <v>39</v>
          </cell>
          <cell r="D177">
            <v>13</v>
          </cell>
          <cell r="E177">
            <v>1273060.5548508354</v>
          </cell>
        </row>
        <row r="178">
          <cell r="A178">
            <v>157</v>
          </cell>
          <cell r="B178">
            <v>78.5</v>
          </cell>
          <cell r="C178">
            <v>39.25</v>
          </cell>
          <cell r="D178">
            <v>13.083333333333334</v>
          </cell>
          <cell r="E178">
            <v>1219719.303867338</v>
          </cell>
        </row>
        <row r="179">
          <cell r="A179">
            <v>158</v>
          </cell>
          <cell r="B179">
            <v>79</v>
          </cell>
          <cell r="C179">
            <v>39.5</v>
          </cell>
          <cell r="D179">
            <v>13.166666666666666</v>
          </cell>
          <cell r="E179">
            <v>1166404.7431962709</v>
          </cell>
        </row>
        <row r="180">
          <cell r="A180">
            <v>159</v>
          </cell>
          <cell r="B180">
            <v>79.5</v>
          </cell>
          <cell r="C180">
            <v>39.75</v>
          </cell>
          <cell r="D180">
            <v>13.25</v>
          </cell>
          <cell r="E180">
            <v>1113116.7551629604</v>
          </cell>
        </row>
        <row r="181">
          <cell r="A181">
            <v>160</v>
          </cell>
          <cell r="B181">
            <v>80</v>
          </cell>
          <cell r="C181">
            <v>40</v>
          </cell>
          <cell r="D181">
            <v>13.333333333333334</v>
          </cell>
          <cell r="E181">
            <v>1059855.2221988838</v>
          </cell>
        </row>
        <row r="182">
          <cell r="A182">
            <v>161</v>
          </cell>
          <cell r="B182">
            <v>80.5</v>
          </cell>
          <cell r="C182">
            <v>40.25</v>
          </cell>
          <cell r="D182">
            <v>13.416666666666666</v>
          </cell>
          <cell r="E182">
            <v>1006620.0268413882</v>
          </cell>
        </row>
        <row r="183">
          <cell r="A183">
            <v>162</v>
          </cell>
          <cell r="B183">
            <v>81</v>
          </cell>
          <cell r="C183">
            <v>40.5</v>
          </cell>
          <cell r="D183">
            <v>13.5</v>
          </cell>
          <cell r="E183">
            <v>953411.05173341045</v>
          </cell>
        </row>
        <row r="184">
          <cell r="A184">
            <v>163</v>
          </cell>
          <cell r="B184">
            <v>81.5</v>
          </cell>
          <cell r="C184">
            <v>40.75</v>
          </cell>
          <cell r="D184">
            <v>13.583333333333334</v>
          </cell>
          <cell r="E184">
            <v>900228.17962319625</v>
          </cell>
        </row>
        <row r="185">
          <cell r="A185">
            <v>164</v>
          </cell>
          <cell r="B185">
            <v>82</v>
          </cell>
          <cell r="C185">
            <v>41</v>
          </cell>
          <cell r="D185">
            <v>13.666666666666666</v>
          </cell>
          <cell r="E185">
            <v>847071.29336402041</v>
          </cell>
        </row>
        <row r="186">
          <cell r="A186">
            <v>165</v>
          </cell>
          <cell r="B186">
            <v>82.5</v>
          </cell>
          <cell r="C186">
            <v>41.25</v>
          </cell>
          <cell r="D186">
            <v>13.75</v>
          </cell>
          <cell r="E186">
            <v>793940.27591390675</v>
          </cell>
        </row>
        <row r="187">
          <cell r="A187">
            <v>166</v>
          </cell>
          <cell r="B187">
            <v>83</v>
          </cell>
          <cell r="C187">
            <v>41.5</v>
          </cell>
          <cell r="D187">
            <v>13.833333333333334</v>
          </cell>
          <cell r="E187">
            <v>740835.01033534971</v>
          </cell>
        </row>
        <row r="188">
          <cell r="A188">
            <v>167</v>
          </cell>
          <cell r="B188">
            <v>83.5</v>
          </cell>
          <cell r="C188">
            <v>41.75</v>
          </cell>
          <cell r="D188">
            <v>13.916666666666666</v>
          </cell>
          <cell r="E188">
            <v>687755.3797950343</v>
          </cell>
        </row>
        <row r="189">
          <cell r="A189">
            <v>168</v>
          </cell>
          <cell r="B189">
            <v>84</v>
          </cell>
          <cell r="C189">
            <v>42</v>
          </cell>
          <cell r="D189">
            <v>14</v>
          </cell>
          <cell r="E189">
            <v>634701.26756355818</v>
          </cell>
        </row>
        <row r="190">
          <cell r="A190">
            <v>169</v>
          </cell>
          <cell r="B190">
            <v>84.5</v>
          </cell>
          <cell r="C190">
            <v>42.25</v>
          </cell>
          <cell r="D190">
            <v>14.083333333333334</v>
          </cell>
          <cell r="E190">
            <v>581672.55701515265</v>
          </cell>
        </row>
        <row r="191">
          <cell r="A191">
            <v>170</v>
          </cell>
          <cell r="B191">
            <v>85</v>
          </cell>
          <cell r="C191">
            <v>42.5</v>
          </cell>
          <cell r="D191">
            <v>14.166666666666666</v>
          </cell>
          <cell r="E191">
            <v>528669.1316274053</v>
          </cell>
        </row>
        <row r="192">
          <cell r="A192">
            <v>171</v>
          </cell>
          <cell r="B192">
            <v>85.5</v>
          </cell>
          <cell r="C192">
            <v>42.75</v>
          </cell>
          <cell r="D192">
            <v>14.25</v>
          </cell>
          <cell r="E192">
            <v>475690.87498098187</v>
          </cell>
        </row>
        <row r="193">
          <cell r="A193">
            <v>172</v>
          </cell>
          <cell r="B193">
            <v>86</v>
          </cell>
          <cell r="C193">
            <v>43</v>
          </cell>
          <cell r="D193">
            <v>14.333333333333334</v>
          </cell>
          <cell r="E193">
            <v>422737.67075934925</v>
          </cell>
        </row>
        <row r="194">
          <cell r="A194">
            <v>173</v>
          </cell>
          <cell r="B194">
            <v>86.5</v>
          </cell>
          <cell r="C194">
            <v>43.25</v>
          </cell>
          <cell r="D194">
            <v>14.416666666666666</v>
          </cell>
          <cell r="E194">
            <v>369809.40274849819</v>
          </cell>
        </row>
        <row r="195">
          <cell r="A195">
            <v>174</v>
          </cell>
          <cell r="B195">
            <v>87</v>
          </cell>
          <cell r="C195">
            <v>43.5</v>
          </cell>
          <cell r="D195">
            <v>14.5</v>
          </cell>
          <cell r="E195">
            <v>316905.95483666664</v>
          </cell>
        </row>
        <row r="196">
          <cell r="A196">
            <v>175</v>
          </cell>
          <cell r="B196">
            <v>87.5</v>
          </cell>
          <cell r="C196">
            <v>43.75</v>
          </cell>
          <cell r="D196">
            <v>14.583333333333334</v>
          </cell>
          <cell r="E196">
            <v>264027.21101406356</v>
          </cell>
        </row>
        <row r="197">
          <cell r="A197">
            <v>176</v>
          </cell>
          <cell r="B197">
            <v>88</v>
          </cell>
          <cell r="C197">
            <v>44</v>
          </cell>
          <cell r="D197">
            <v>14.666666666666666</v>
          </cell>
          <cell r="E197">
            <v>211173.05537259279</v>
          </cell>
        </row>
        <row r="198">
          <cell r="A198">
            <v>177</v>
          </cell>
          <cell r="B198">
            <v>88.5</v>
          </cell>
          <cell r="C198">
            <v>44.25</v>
          </cell>
          <cell r="D198">
            <v>14.75</v>
          </cell>
          <cell r="E198">
            <v>158343.37210557735</v>
          </cell>
        </row>
        <row r="199">
          <cell r="A199">
            <v>178</v>
          </cell>
          <cell r="B199">
            <v>89</v>
          </cell>
          <cell r="C199">
            <v>44.5</v>
          </cell>
          <cell r="D199">
            <v>14.833333333333334</v>
          </cell>
          <cell r="E199">
            <v>105538.04550748401</v>
          </cell>
        </row>
        <row r="200">
          <cell r="A200">
            <v>179</v>
          </cell>
          <cell r="B200">
            <v>89.5</v>
          </cell>
          <cell r="C200">
            <v>44.75</v>
          </cell>
          <cell r="D200">
            <v>14.916666666666666</v>
          </cell>
          <cell r="E200">
            <v>52756.959973648372</v>
          </cell>
        </row>
        <row r="201">
          <cell r="A201">
            <v>180</v>
          </cell>
          <cell r="B201">
            <v>90</v>
          </cell>
          <cell r="C201">
            <v>45</v>
          </cell>
          <cell r="D201">
            <v>15</v>
          </cell>
          <cell r="E201">
            <v>0</v>
          </cell>
        </row>
        <row r="202">
          <cell r="A202">
            <v>181</v>
          </cell>
          <cell r="B202">
            <v>90.5</v>
          </cell>
          <cell r="C202">
            <v>45.25</v>
          </cell>
          <cell r="D202">
            <v>15.083333333333334</v>
          </cell>
          <cell r="E202">
            <v>0</v>
          </cell>
        </row>
        <row r="203">
          <cell r="A203">
            <v>182</v>
          </cell>
          <cell r="B203">
            <v>91</v>
          </cell>
          <cell r="C203">
            <v>45.5</v>
          </cell>
          <cell r="D203">
            <v>15.166666666666666</v>
          </cell>
          <cell r="E203">
            <v>0</v>
          </cell>
        </row>
        <row r="204">
          <cell r="A204">
            <v>183</v>
          </cell>
          <cell r="B204">
            <v>91.5</v>
          </cell>
          <cell r="C204">
            <v>45.75</v>
          </cell>
          <cell r="D204">
            <v>15.25</v>
          </cell>
          <cell r="E204">
            <v>0</v>
          </cell>
        </row>
        <row r="205">
          <cell r="A205">
            <v>184</v>
          </cell>
          <cell r="B205">
            <v>92</v>
          </cell>
          <cell r="C205">
            <v>46</v>
          </cell>
          <cell r="D205">
            <v>15.333333333333334</v>
          </cell>
          <cell r="E205">
            <v>0</v>
          </cell>
        </row>
        <row r="206">
          <cell r="A206">
            <v>185</v>
          </cell>
          <cell r="B206">
            <v>92.5</v>
          </cell>
          <cell r="C206">
            <v>46.25</v>
          </cell>
          <cell r="D206">
            <v>15.416666666666666</v>
          </cell>
          <cell r="E206">
            <v>0</v>
          </cell>
        </row>
        <row r="207">
          <cell r="A207">
            <v>186</v>
          </cell>
          <cell r="B207">
            <v>93</v>
          </cell>
          <cell r="C207">
            <v>46.5</v>
          </cell>
          <cell r="D207">
            <v>15.5</v>
          </cell>
          <cell r="E207">
            <v>0</v>
          </cell>
        </row>
        <row r="208">
          <cell r="A208">
            <v>187</v>
          </cell>
          <cell r="B208">
            <v>93.5</v>
          </cell>
          <cell r="C208">
            <v>46.75</v>
          </cell>
          <cell r="D208">
            <v>15.583333333333334</v>
          </cell>
          <cell r="E208">
            <v>0</v>
          </cell>
        </row>
        <row r="209">
          <cell r="A209">
            <v>188</v>
          </cell>
          <cell r="B209">
            <v>94</v>
          </cell>
          <cell r="C209">
            <v>47</v>
          </cell>
          <cell r="D209">
            <v>15.666666666666666</v>
          </cell>
          <cell r="E209">
            <v>0</v>
          </cell>
        </row>
        <row r="210">
          <cell r="A210">
            <v>189</v>
          </cell>
          <cell r="B210">
            <v>94.5</v>
          </cell>
          <cell r="C210">
            <v>47.25</v>
          </cell>
          <cell r="D210">
            <v>15.75</v>
          </cell>
          <cell r="E210">
            <v>0</v>
          </cell>
        </row>
        <row r="211">
          <cell r="A211">
            <v>190</v>
          </cell>
          <cell r="B211">
            <v>95</v>
          </cell>
          <cell r="C211">
            <v>47.5</v>
          </cell>
          <cell r="D211">
            <v>15.833333333333334</v>
          </cell>
          <cell r="E211">
            <v>0</v>
          </cell>
        </row>
        <row r="212">
          <cell r="A212">
            <v>191</v>
          </cell>
          <cell r="B212">
            <v>95.5</v>
          </cell>
          <cell r="C212">
            <v>47.75</v>
          </cell>
          <cell r="D212">
            <v>15.916666666666666</v>
          </cell>
          <cell r="E212">
            <v>0</v>
          </cell>
        </row>
        <row r="213">
          <cell r="A213">
            <v>192</v>
          </cell>
          <cell r="B213">
            <v>96</v>
          </cell>
          <cell r="C213">
            <v>48</v>
          </cell>
          <cell r="D213">
            <v>16</v>
          </cell>
          <cell r="E213">
            <v>0</v>
          </cell>
        </row>
        <row r="214">
          <cell r="A214">
            <v>193</v>
          </cell>
          <cell r="B214">
            <v>96.5</v>
          </cell>
          <cell r="C214">
            <v>48.25</v>
          </cell>
          <cell r="D214">
            <v>16.083333333333332</v>
          </cell>
          <cell r="E214">
            <v>0</v>
          </cell>
        </row>
        <row r="215">
          <cell r="A215">
            <v>194</v>
          </cell>
          <cell r="B215">
            <v>97</v>
          </cell>
          <cell r="C215">
            <v>48.5</v>
          </cell>
          <cell r="D215">
            <v>16.166666666666668</v>
          </cell>
          <cell r="E215">
            <v>0</v>
          </cell>
        </row>
        <row r="216">
          <cell r="A216">
            <v>195</v>
          </cell>
          <cell r="B216">
            <v>97.5</v>
          </cell>
          <cell r="C216">
            <v>48.75</v>
          </cell>
          <cell r="D216">
            <v>16.25</v>
          </cell>
          <cell r="E216">
            <v>0</v>
          </cell>
        </row>
        <row r="217">
          <cell r="A217">
            <v>196</v>
          </cell>
          <cell r="B217">
            <v>98</v>
          </cell>
          <cell r="C217">
            <v>49</v>
          </cell>
          <cell r="D217">
            <v>16.333333333333332</v>
          </cell>
          <cell r="E217">
            <v>0</v>
          </cell>
        </row>
        <row r="218">
          <cell r="A218">
            <v>197</v>
          </cell>
          <cell r="B218">
            <v>98.5</v>
          </cell>
          <cell r="C218">
            <v>49.25</v>
          </cell>
          <cell r="D218">
            <v>16.416666666666668</v>
          </cell>
          <cell r="E218">
            <v>0</v>
          </cell>
        </row>
        <row r="219">
          <cell r="A219">
            <v>198</v>
          </cell>
          <cell r="B219">
            <v>99</v>
          </cell>
          <cell r="C219">
            <v>49.5</v>
          </cell>
          <cell r="D219">
            <v>16.5</v>
          </cell>
          <cell r="E219">
            <v>0</v>
          </cell>
        </row>
        <row r="220">
          <cell r="A220">
            <v>199</v>
          </cell>
          <cell r="B220">
            <v>99.5</v>
          </cell>
          <cell r="C220">
            <v>49.75</v>
          </cell>
          <cell r="D220">
            <v>16.583333333333332</v>
          </cell>
          <cell r="E220">
            <v>0</v>
          </cell>
        </row>
        <row r="221">
          <cell r="A221">
            <v>200</v>
          </cell>
          <cell r="B221">
            <v>100</v>
          </cell>
          <cell r="C221">
            <v>50</v>
          </cell>
          <cell r="D221">
            <v>16.666666666666668</v>
          </cell>
          <cell r="E221">
            <v>0</v>
          </cell>
        </row>
        <row r="222">
          <cell r="A222">
            <v>201</v>
          </cell>
          <cell r="B222">
            <v>100.5</v>
          </cell>
          <cell r="C222">
            <v>50.25</v>
          </cell>
          <cell r="D222">
            <v>16.75</v>
          </cell>
          <cell r="E222">
            <v>0</v>
          </cell>
        </row>
        <row r="223">
          <cell r="A223">
            <v>202</v>
          </cell>
          <cell r="B223">
            <v>101</v>
          </cell>
          <cell r="C223">
            <v>50.5</v>
          </cell>
          <cell r="D223">
            <v>16.833333333333332</v>
          </cell>
          <cell r="E223">
            <v>0</v>
          </cell>
        </row>
        <row r="224">
          <cell r="A224">
            <v>203</v>
          </cell>
          <cell r="B224">
            <v>101.5</v>
          </cell>
          <cell r="C224">
            <v>50.75</v>
          </cell>
          <cell r="D224">
            <v>16.916666666666668</v>
          </cell>
          <cell r="E224">
            <v>0</v>
          </cell>
        </row>
        <row r="225">
          <cell r="A225">
            <v>204</v>
          </cell>
          <cell r="B225">
            <v>102</v>
          </cell>
          <cell r="C225">
            <v>51</v>
          </cell>
          <cell r="D225">
            <v>17</v>
          </cell>
          <cell r="E225">
            <v>0</v>
          </cell>
        </row>
        <row r="226">
          <cell r="A226">
            <v>205</v>
          </cell>
          <cell r="B226">
            <v>102.5</v>
          </cell>
          <cell r="C226">
            <v>51.25</v>
          </cell>
          <cell r="D226">
            <v>17.083333333333332</v>
          </cell>
          <cell r="E226">
            <v>0</v>
          </cell>
        </row>
        <row r="227">
          <cell r="A227">
            <v>206</v>
          </cell>
          <cell r="B227">
            <v>103</v>
          </cell>
          <cell r="C227">
            <v>51.5</v>
          </cell>
          <cell r="D227">
            <v>17.166666666666668</v>
          </cell>
          <cell r="E227">
            <v>0</v>
          </cell>
        </row>
        <row r="228">
          <cell r="A228">
            <v>207</v>
          </cell>
          <cell r="B228">
            <v>103.5</v>
          </cell>
          <cell r="C228">
            <v>51.75</v>
          </cell>
          <cell r="D228">
            <v>17.25</v>
          </cell>
          <cell r="E228">
            <v>0</v>
          </cell>
        </row>
        <row r="229">
          <cell r="A229">
            <v>208</v>
          </cell>
          <cell r="B229">
            <v>104</v>
          </cell>
          <cell r="C229">
            <v>52</v>
          </cell>
          <cell r="D229">
            <v>17.333333333333332</v>
          </cell>
          <cell r="E229">
            <v>0</v>
          </cell>
        </row>
        <row r="230">
          <cell r="A230">
            <v>209</v>
          </cell>
          <cell r="B230">
            <v>104.5</v>
          </cell>
          <cell r="C230">
            <v>52.25</v>
          </cell>
          <cell r="D230">
            <v>17.416666666666668</v>
          </cell>
          <cell r="E230">
            <v>0</v>
          </cell>
        </row>
        <row r="231">
          <cell r="A231">
            <v>210</v>
          </cell>
          <cell r="B231">
            <v>105</v>
          </cell>
          <cell r="C231">
            <v>52.5</v>
          </cell>
          <cell r="D231">
            <v>17.5</v>
          </cell>
          <cell r="E231">
            <v>0</v>
          </cell>
        </row>
        <row r="232">
          <cell r="A232">
            <v>211</v>
          </cell>
          <cell r="B232">
            <v>105.5</v>
          </cell>
          <cell r="C232">
            <v>52.75</v>
          </cell>
          <cell r="D232">
            <v>17.583333333333332</v>
          </cell>
          <cell r="E232">
            <v>0</v>
          </cell>
        </row>
        <row r="233">
          <cell r="A233">
            <v>212</v>
          </cell>
          <cell r="B233">
            <v>106</v>
          </cell>
          <cell r="C233">
            <v>53</v>
          </cell>
          <cell r="D233">
            <v>17.666666666666668</v>
          </cell>
          <cell r="E233">
            <v>0</v>
          </cell>
        </row>
        <row r="234">
          <cell r="A234">
            <v>213</v>
          </cell>
          <cell r="B234">
            <v>106.5</v>
          </cell>
          <cell r="C234">
            <v>53.25</v>
          </cell>
          <cell r="D234">
            <v>17.75</v>
          </cell>
          <cell r="E234">
            <v>0</v>
          </cell>
        </row>
        <row r="235">
          <cell r="A235">
            <v>214</v>
          </cell>
          <cell r="B235">
            <v>107</v>
          </cell>
          <cell r="C235">
            <v>53.5</v>
          </cell>
          <cell r="D235">
            <v>17.833333333333332</v>
          </cell>
          <cell r="E235">
            <v>0</v>
          </cell>
        </row>
        <row r="236">
          <cell r="A236">
            <v>215</v>
          </cell>
          <cell r="B236">
            <v>107.5</v>
          </cell>
          <cell r="C236">
            <v>53.75</v>
          </cell>
          <cell r="D236">
            <v>17.916666666666668</v>
          </cell>
          <cell r="E236">
            <v>0</v>
          </cell>
        </row>
        <row r="237">
          <cell r="A237">
            <v>216</v>
          </cell>
          <cell r="B237">
            <v>108</v>
          </cell>
          <cell r="C237">
            <v>54</v>
          </cell>
          <cell r="D237">
            <v>18</v>
          </cell>
          <cell r="E237">
            <v>0</v>
          </cell>
        </row>
        <row r="238">
          <cell r="A238">
            <v>217</v>
          </cell>
          <cell r="B238">
            <v>108.5</v>
          </cell>
          <cell r="C238">
            <v>54.25</v>
          </cell>
          <cell r="D238">
            <v>18.083333333333332</v>
          </cell>
          <cell r="E238">
            <v>0</v>
          </cell>
        </row>
        <row r="239">
          <cell r="A239">
            <v>218</v>
          </cell>
          <cell r="B239">
            <v>109</v>
          </cell>
          <cell r="C239">
            <v>54.5</v>
          </cell>
          <cell r="D239">
            <v>18.166666666666668</v>
          </cell>
          <cell r="E239">
            <v>0</v>
          </cell>
        </row>
        <row r="240">
          <cell r="A240">
            <v>219</v>
          </cell>
          <cell r="B240">
            <v>109.5</v>
          </cell>
          <cell r="C240">
            <v>54.75</v>
          </cell>
          <cell r="D240">
            <v>18.25</v>
          </cell>
          <cell r="E240">
            <v>0</v>
          </cell>
        </row>
        <row r="241">
          <cell r="A241">
            <v>220</v>
          </cell>
          <cell r="B241">
            <v>110</v>
          </cell>
          <cell r="C241">
            <v>55</v>
          </cell>
          <cell r="D241">
            <v>18.333333333333332</v>
          </cell>
          <cell r="E241">
            <v>0</v>
          </cell>
        </row>
        <row r="242">
          <cell r="A242">
            <v>221</v>
          </cell>
          <cell r="B242">
            <v>110.5</v>
          </cell>
          <cell r="C242">
            <v>55.25</v>
          </cell>
          <cell r="D242">
            <v>18.416666666666668</v>
          </cell>
          <cell r="E242">
            <v>0</v>
          </cell>
        </row>
        <row r="243">
          <cell r="A243">
            <v>222</v>
          </cell>
          <cell r="B243">
            <v>111</v>
          </cell>
          <cell r="C243">
            <v>55.5</v>
          </cell>
          <cell r="D243">
            <v>18.5</v>
          </cell>
          <cell r="E243">
            <v>0</v>
          </cell>
        </row>
        <row r="244">
          <cell r="A244">
            <v>223</v>
          </cell>
          <cell r="B244">
            <v>111.5</v>
          </cell>
          <cell r="C244">
            <v>55.75</v>
          </cell>
          <cell r="D244">
            <v>18.583333333333332</v>
          </cell>
          <cell r="E244">
            <v>0</v>
          </cell>
        </row>
        <row r="245">
          <cell r="A245">
            <v>224</v>
          </cell>
          <cell r="B245">
            <v>112</v>
          </cell>
          <cell r="C245">
            <v>56</v>
          </cell>
          <cell r="D245">
            <v>18.666666666666668</v>
          </cell>
          <cell r="E245">
            <v>0</v>
          </cell>
        </row>
        <row r="246">
          <cell r="A246">
            <v>225</v>
          </cell>
          <cell r="B246">
            <v>112.5</v>
          </cell>
          <cell r="C246">
            <v>56.25</v>
          </cell>
          <cell r="D246">
            <v>18.75</v>
          </cell>
          <cell r="E246">
            <v>0</v>
          </cell>
        </row>
        <row r="247">
          <cell r="A247">
            <v>226</v>
          </cell>
          <cell r="B247">
            <v>113</v>
          </cell>
          <cell r="C247">
            <v>56.5</v>
          </cell>
          <cell r="D247">
            <v>18.833333333333332</v>
          </cell>
          <cell r="E247">
            <v>0</v>
          </cell>
        </row>
        <row r="248">
          <cell r="A248">
            <v>227</v>
          </cell>
          <cell r="B248">
            <v>113.5</v>
          </cell>
          <cell r="C248">
            <v>56.75</v>
          </cell>
          <cell r="D248">
            <v>18.916666666666668</v>
          </cell>
          <cell r="E248">
            <v>0</v>
          </cell>
        </row>
        <row r="249">
          <cell r="A249">
            <v>228</v>
          </cell>
          <cell r="B249">
            <v>114</v>
          </cell>
          <cell r="C249">
            <v>57</v>
          </cell>
          <cell r="D249">
            <v>19</v>
          </cell>
          <cell r="E249">
            <v>0</v>
          </cell>
        </row>
        <row r="250">
          <cell r="A250">
            <v>229</v>
          </cell>
          <cell r="B250">
            <v>114.5</v>
          </cell>
          <cell r="C250">
            <v>57.25</v>
          </cell>
          <cell r="D250">
            <v>19.083333333333332</v>
          </cell>
          <cell r="E250">
            <v>0</v>
          </cell>
        </row>
        <row r="251">
          <cell r="A251">
            <v>230</v>
          </cell>
          <cell r="B251">
            <v>115</v>
          </cell>
          <cell r="C251">
            <v>57.5</v>
          </cell>
          <cell r="D251">
            <v>19.166666666666668</v>
          </cell>
          <cell r="E251">
            <v>0</v>
          </cell>
        </row>
        <row r="252">
          <cell r="A252">
            <v>231</v>
          </cell>
          <cell r="B252">
            <v>115.5</v>
          </cell>
          <cell r="C252">
            <v>57.75</v>
          </cell>
          <cell r="D252">
            <v>19.25</v>
          </cell>
          <cell r="E252">
            <v>0</v>
          </cell>
        </row>
        <row r="253">
          <cell r="A253">
            <v>232</v>
          </cell>
          <cell r="B253">
            <v>116</v>
          </cell>
          <cell r="C253">
            <v>58</v>
          </cell>
          <cell r="D253">
            <v>19.333333333333332</v>
          </cell>
          <cell r="E253">
            <v>0</v>
          </cell>
        </row>
        <row r="254">
          <cell r="A254">
            <v>233</v>
          </cell>
          <cell r="B254">
            <v>116.5</v>
          </cell>
          <cell r="C254">
            <v>58.25</v>
          </cell>
          <cell r="D254">
            <v>19.416666666666668</v>
          </cell>
          <cell r="E254">
            <v>0</v>
          </cell>
        </row>
        <row r="255">
          <cell r="A255">
            <v>234</v>
          </cell>
          <cell r="B255">
            <v>117</v>
          </cell>
          <cell r="C255">
            <v>58.5</v>
          </cell>
          <cell r="D255">
            <v>19.5</v>
          </cell>
          <cell r="E255">
            <v>0</v>
          </cell>
        </row>
        <row r="256">
          <cell r="A256">
            <v>235</v>
          </cell>
          <cell r="B256">
            <v>117.5</v>
          </cell>
          <cell r="C256">
            <v>58.75</v>
          </cell>
          <cell r="D256">
            <v>19.583333333333332</v>
          </cell>
          <cell r="E256">
            <v>0</v>
          </cell>
        </row>
        <row r="257">
          <cell r="A257">
            <v>236</v>
          </cell>
          <cell r="B257">
            <v>118</v>
          </cell>
          <cell r="C257">
            <v>59</v>
          </cell>
          <cell r="D257">
            <v>19.666666666666668</v>
          </cell>
          <cell r="E257">
            <v>0</v>
          </cell>
        </row>
        <row r="258">
          <cell r="A258">
            <v>237</v>
          </cell>
          <cell r="B258">
            <v>118.5</v>
          </cell>
          <cell r="C258">
            <v>59.25</v>
          </cell>
          <cell r="D258">
            <v>19.75</v>
          </cell>
          <cell r="E258">
            <v>0</v>
          </cell>
        </row>
        <row r="259">
          <cell r="A259">
            <v>238</v>
          </cell>
          <cell r="B259">
            <v>119</v>
          </cell>
          <cell r="C259">
            <v>59.5</v>
          </cell>
          <cell r="D259">
            <v>19.833333333333332</v>
          </cell>
          <cell r="E259">
            <v>0</v>
          </cell>
        </row>
        <row r="260">
          <cell r="A260">
            <v>239</v>
          </cell>
          <cell r="B260">
            <v>119.5</v>
          </cell>
          <cell r="C260">
            <v>59.75</v>
          </cell>
          <cell r="D260">
            <v>19.916666666666668</v>
          </cell>
          <cell r="E260">
            <v>0</v>
          </cell>
        </row>
        <row r="261">
          <cell r="A261">
            <v>240</v>
          </cell>
          <cell r="B261">
            <v>120</v>
          </cell>
          <cell r="C261">
            <v>60</v>
          </cell>
          <cell r="D261">
            <v>20</v>
          </cell>
          <cell r="E261">
            <v>0</v>
          </cell>
        </row>
        <row r="262">
          <cell r="A262">
            <v>241</v>
          </cell>
          <cell r="B262">
            <v>120.5</v>
          </cell>
          <cell r="C262">
            <v>60.25</v>
          </cell>
          <cell r="D262">
            <v>20.083333333333332</v>
          </cell>
          <cell r="E262">
            <v>0</v>
          </cell>
        </row>
        <row r="263">
          <cell r="A263">
            <v>242</v>
          </cell>
          <cell r="B263">
            <v>121</v>
          </cell>
          <cell r="C263">
            <v>60.5</v>
          </cell>
          <cell r="D263">
            <v>20.166666666666668</v>
          </cell>
          <cell r="E263">
            <v>0</v>
          </cell>
        </row>
        <row r="264">
          <cell r="A264">
            <v>243</v>
          </cell>
          <cell r="B264">
            <v>121.5</v>
          </cell>
          <cell r="C264">
            <v>60.75</v>
          </cell>
          <cell r="D264">
            <v>20.25</v>
          </cell>
          <cell r="E264">
            <v>0</v>
          </cell>
        </row>
        <row r="265">
          <cell r="A265">
            <v>244</v>
          </cell>
          <cell r="B265">
            <v>122</v>
          </cell>
          <cell r="C265">
            <v>61</v>
          </cell>
          <cell r="D265">
            <v>20.333333333333332</v>
          </cell>
          <cell r="E265">
            <v>0</v>
          </cell>
        </row>
        <row r="266">
          <cell r="A266">
            <v>245</v>
          </cell>
          <cell r="B266">
            <v>122.5</v>
          </cell>
          <cell r="C266">
            <v>61.25</v>
          </cell>
          <cell r="D266">
            <v>20.416666666666668</v>
          </cell>
          <cell r="E266">
            <v>0</v>
          </cell>
        </row>
        <row r="267">
          <cell r="A267">
            <v>246</v>
          </cell>
          <cell r="B267">
            <v>123</v>
          </cell>
          <cell r="C267">
            <v>61.5</v>
          </cell>
          <cell r="D267">
            <v>20.5</v>
          </cell>
          <cell r="E267">
            <v>0</v>
          </cell>
        </row>
        <row r="268">
          <cell r="A268">
            <v>247</v>
          </cell>
          <cell r="B268">
            <v>123.5</v>
          </cell>
          <cell r="C268">
            <v>61.75</v>
          </cell>
          <cell r="D268">
            <v>20.583333333333332</v>
          </cell>
          <cell r="E268">
            <v>0</v>
          </cell>
        </row>
        <row r="269">
          <cell r="A269">
            <v>248</v>
          </cell>
          <cell r="B269">
            <v>124</v>
          </cell>
          <cell r="C269">
            <v>62</v>
          </cell>
          <cell r="D269">
            <v>20.666666666666668</v>
          </cell>
          <cell r="E269">
            <v>0</v>
          </cell>
        </row>
        <row r="270">
          <cell r="A270">
            <v>249</v>
          </cell>
          <cell r="B270">
            <v>124.5</v>
          </cell>
          <cell r="C270">
            <v>62.25</v>
          </cell>
          <cell r="D270">
            <v>20.75</v>
          </cell>
          <cell r="E270">
            <v>0</v>
          </cell>
        </row>
        <row r="271">
          <cell r="A271">
            <v>250</v>
          </cell>
          <cell r="B271">
            <v>125</v>
          </cell>
          <cell r="C271">
            <v>62.5</v>
          </cell>
          <cell r="D271">
            <v>20.833333333333332</v>
          </cell>
          <cell r="E271">
            <v>0</v>
          </cell>
        </row>
        <row r="272">
          <cell r="A272">
            <v>251</v>
          </cell>
          <cell r="B272">
            <v>125.5</v>
          </cell>
          <cell r="C272">
            <v>62.75</v>
          </cell>
          <cell r="D272">
            <v>20.916666666666668</v>
          </cell>
          <cell r="E272">
            <v>0</v>
          </cell>
        </row>
        <row r="273">
          <cell r="A273">
            <v>252</v>
          </cell>
          <cell r="B273">
            <v>126</v>
          </cell>
          <cell r="C273">
            <v>63</v>
          </cell>
          <cell r="D273">
            <v>21</v>
          </cell>
          <cell r="E273">
            <v>0</v>
          </cell>
        </row>
        <row r="274">
          <cell r="A274">
            <v>253</v>
          </cell>
          <cell r="B274">
            <v>126.5</v>
          </cell>
          <cell r="C274">
            <v>63.25</v>
          </cell>
          <cell r="D274">
            <v>21.083333333333332</v>
          </cell>
          <cell r="E274">
            <v>0</v>
          </cell>
        </row>
        <row r="275">
          <cell r="A275">
            <v>254</v>
          </cell>
          <cell r="B275">
            <v>127</v>
          </cell>
          <cell r="C275">
            <v>63.5</v>
          </cell>
          <cell r="D275">
            <v>21.166666666666668</v>
          </cell>
          <cell r="E275">
            <v>0</v>
          </cell>
        </row>
        <row r="276">
          <cell r="A276">
            <v>255</v>
          </cell>
          <cell r="B276">
            <v>127.5</v>
          </cell>
          <cell r="C276">
            <v>63.75</v>
          </cell>
          <cell r="D276">
            <v>21.25</v>
          </cell>
          <cell r="E276">
            <v>0</v>
          </cell>
        </row>
        <row r="277">
          <cell r="A277">
            <v>256</v>
          </cell>
          <cell r="B277">
            <v>128</v>
          </cell>
          <cell r="C277">
            <v>64</v>
          </cell>
          <cell r="D277">
            <v>21.333333333333332</v>
          </cell>
          <cell r="E277">
            <v>0</v>
          </cell>
        </row>
        <row r="278">
          <cell r="A278">
            <v>257</v>
          </cell>
          <cell r="B278">
            <v>128.5</v>
          </cell>
          <cell r="C278">
            <v>64.25</v>
          </cell>
          <cell r="D278">
            <v>21.416666666666668</v>
          </cell>
          <cell r="E278">
            <v>0</v>
          </cell>
        </row>
        <row r="279">
          <cell r="A279">
            <v>258</v>
          </cell>
          <cell r="B279">
            <v>129</v>
          </cell>
          <cell r="C279">
            <v>64.5</v>
          </cell>
          <cell r="D279">
            <v>21.5</v>
          </cell>
          <cell r="E279">
            <v>0</v>
          </cell>
        </row>
        <row r="280">
          <cell r="A280">
            <v>259</v>
          </cell>
          <cell r="B280">
            <v>129.5</v>
          </cell>
          <cell r="C280">
            <v>64.75</v>
          </cell>
          <cell r="D280">
            <v>21.583333333333332</v>
          </cell>
          <cell r="E280">
            <v>0</v>
          </cell>
        </row>
        <row r="281">
          <cell r="A281">
            <v>260</v>
          </cell>
          <cell r="B281">
            <v>130</v>
          </cell>
          <cell r="C281">
            <v>65</v>
          </cell>
          <cell r="D281">
            <v>21.666666666666668</v>
          </cell>
          <cell r="E281">
            <v>0</v>
          </cell>
        </row>
        <row r="282">
          <cell r="A282">
            <v>261</v>
          </cell>
          <cell r="B282">
            <v>130.5</v>
          </cell>
          <cell r="C282">
            <v>65.25</v>
          </cell>
          <cell r="D282">
            <v>21.75</v>
          </cell>
          <cell r="E282">
            <v>0</v>
          </cell>
        </row>
        <row r="283">
          <cell r="A283">
            <v>262</v>
          </cell>
          <cell r="B283">
            <v>131</v>
          </cell>
          <cell r="C283">
            <v>65.5</v>
          </cell>
          <cell r="D283">
            <v>21.833333333333332</v>
          </cell>
          <cell r="E283">
            <v>0</v>
          </cell>
        </row>
        <row r="284">
          <cell r="A284">
            <v>263</v>
          </cell>
          <cell r="B284">
            <v>131.5</v>
          </cell>
          <cell r="C284">
            <v>65.75</v>
          </cell>
          <cell r="D284">
            <v>21.916666666666668</v>
          </cell>
          <cell r="E284">
            <v>0</v>
          </cell>
        </row>
        <row r="285">
          <cell r="A285">
            <v>264</v>
          </cell>
          <cell r="B285">
            <v>132</v>
          </cell>
          <cell r="C285">
            <v>66</v>
          </cell>
          <cell r="D285">
            <v>22</v>
          </cell>
          <cell r="E285">
            <v>0</v>
          </cell>
        </row>
        <row r="286">
          <cell r="A286">
            <v>265</v>
          </cell>
          <cell r="B286">
            <v>132.5</v>
          </cell>
          <cell r="C286">
            <v>66.25</v>
          </cell>
          <cell r="D286">
            <v>22.083333333333332</v>
          </cell>
          <cell r="E286">
            <v>0</v>
          </cell>
        </row>
        <row r="287">
          <cell r="A287">
            <v>266</v>
          </cell>
          <cell r="B287">
            <v>133</v>
          </cell>
          <cell r="C287">
            <v>66.5</v>
          </cell>
          <cell r="D287">
            <v>22.166666666666668</v>
          </cell>
          <cell r="E287">
            <v>0</v>
          </cell>
        </row>
        <row r="288">
          <cell r="A288">
            <v>267</v>
          </cell>
          <cell r="B288">
            <v>133.5</v>
          </cell>
          <cell r="C288">
            <v>66.75</v>
          </cell>
          <cell r="D288">
            <v>22.25</v>
          </cell>
          <cell r="E288">
            <v>0</v>
          </cell>
        </row>
        <row r="289">
          <cell r="A289">
            <v>268</v>
          </cell>
          <cell r="B289">
            <v>134</v>
          </cell>
          <cell r="C289">
            <v>67</v>
          </cell>
          <cell r="D289">
            <v>22.333333333333332</v>
          </cell>
          <cell r="E289">
            <v>0</v>
          </cell>
        </row>
        <row r="290">
          <cell r="A290">
            <v>269</v>
          </cell>
          <cell r="B290">
            <v>134.5</v>
          </cell>
          <cell r="C290">
            <v>67.25</v>
          </cell>
          <cell r="D290">
            <v>22.416666666666668</v>
          </cell>
          <cell r="E290">
            <v>0</v>
          </cell>
        </row>
        <row r="291">
          <cell r="A291">
            <v>270</v>
          </cell>
          <cell r="B291">
            <v>135</v>
          </cell>
          <cell r="C291">
            <v>67.5</v>
          </cell>
          <cell r="D291">
            <v>22.5</v>
          </cell>
          <cell r="E291">
            <v>0</v>
          </cell>
        </row>
        <row r="292">
          <cell r="A292">
            <v>271</v>
          </cell>
          <cell r="B292">
            <v>135.5</v>
          </cell>
          <cell r="C292">
            <v>67.75</v>
          </cell>
          <cell r="D292">
            <v>22.583333333333332</v>
          </cell>
          <cell r="E292">
            <v>0</v>
          </cell>
        </row>
        <row r="293">
          <cell r="A293">
            <v>272</v>
          </cell>
          <cell r="B293">
            <v>136</v>
          </cell>
          <cell r="C293">
            <v>68</v>
          </cell>
          <cell r="D293">
            <v>22.666666666666668</v>
          </cell>
          <cell r="E293">
            <v>0</v>
          </cell>
        </row>
        <row r="294">
          <cell r="A294">
            <v>273</v>
          </cell>
          <cell r="B294">
            <v>136.5</v>
          </cell>
          <cell r="C294">
            <v>68.25</v>
          </cell>
          <cell r="D294">
            <v>22.75</v>
          </cell>
          <cell r="E294">
            <v>0</v>
          </cell>
        </row>
        <row r="295">
          <cell r="A295">
            <v>274</v>
          </cell>
          <cell r="B295">
            <v>137</v>
          </cell>
          <cell r="C295">
            <v>68.5</v>
          </cell>
          <cell r="D295">
            <v>22.833333333333332</v>
          </cell>
          <cell r="E295">
            <v>0</v>
          </cell>
        </row>
        <row r="296">
          <cell r="A296">
            <v>275</v>
          </cell>
          <cell r="B296">
            <v>137.5</v>
          </cell>
          <cell r="C296">
            <v>68.75</v>
          </cell>
          <cell r="D296">
            <v>22.916666666666668</v>
          </cell>
          <cell r="E296">
            <v>0</v>
          </cell>
        </row>
        <row r="297">
          <cell r="A297">
            <v>276</v>
          </cell>
          <cell r="B297">
            <v>138</v>
          </cell>
          <cell r="C297">
            <v>69</v>
          </cell>
          <cell r="D297">
            <v>23</v>
          </cell>
          <cell r="E297">
            <v>0</v>
          </cell>
        </row>
        <row r="298">
          <cell r="A298">
            <v>277</v>
          </cell>
          <cell r="B298">
            <v>138.5</v>
          </cell>
          <cell r="C298">
            <v>69.25</v>
          </cell>
          <cell r="D298">
            <v>23.083333333333332</v>
          </cell>
          <cell r="E298">
            <v>0</v>
          </cell>
        </row>
        <row r="299">
          <cell r="A299">
            <v>278</v>
          </cell>
          <cell r="B299">
            <v>139</v>
          </cell>
          <cell r="C299">
            <v>69.5</v>
          </cell>
          <cell r="D299">
            <v>23.166666666666668</v>
          </cell>
          <cell r="E299">
            <v>0</v>
          </cell>
        </row>
        <row r="300">
          <cell r="A300">
            <v>279</v>
          </cell>
          <cell r="B300">
            <v>139.5</v>
          </cell>
          <cell r="C300">
            <v>69.75</v>
          </cell>
          <cell r="D300">
            <v>23.25</v>
          </cell>
          <cell r="E300">
            <v>0</v>
          </cell>
        </row>
        <row r="301">
          <cell r="A301">
            <v>280</v>
          </cell>
          <cell r="B301">
            <v>140</v>
          </cell>
          <cell r="C301">
            <v>70</v>
          </cell>
          <cell r="D301">
            <v>23.333333333333332</v>
          </cell>
          <cell r="E301">
            <v>0</v>
          </cell>
        </row>
        <row r="302">
          <cell r="A302">
            <v>281</v>
          </cell>
          <cell r="B302">
            <v>140.5</v>
          </cell>
          <cell r="C302">
            <v>70.25</v>
          </cell>
          <cell r="D302">
            <v>23.416666666666668</v>
          </cell>
          <cell r="E302">
            <v>0</v>
          </cell>
        </row>
        <row r="303">
          <cell r="A303">
            <v>282</v>
          </cell>
          <cell r="B303">
            <v>141</v>
          </cell>
          <cell r="C303">
            <v>70.5</v>
          </cell>
          <cell r="D303">
            <v>23.5</v>
          </cell>
          <cell r="E303">
            <v>0</v>
          </cell>
        </row>
        <row r="304">
          <cell r="A304">
            <v>283</v>
          </cell>
          <cell r="B304">
            <v>141.5</v>
          </cell>
          <cell r="C304">
            <v>70.75</v>
          </cell>
          <cell r="D304">
            <v>23.583333333333332</v>
          </cell>
          <cell r="E304">
            <v>0</v>
          </cell>
        </row>
        <row r="305">
          <cell r="A305">
            <v>284</v>
          </cell>
          <cell r="B305">
            <v>142</v>
          </cell>
          <cell r="C305">
            <v>71</v>
          </cell>
          <cell r="D305">
            <v>23.666666666666668</v>
          </cell>
          <cell r="E305">
            <v>0</v>
          </cell>
        </row>
        <row r="306">
          <cell r="A306">
            <v>285</v>
          </cell>
          <cell r="B306">
            <v>142.5</v>
          </cell>
          <cell r="C306">
            <v>71.25</v>
          </cell>
          <cell r="D306">
            <v>23.75</v>
          </cell>
          <cell r="E306">
            <v>0</v>
          </cell>
        </row>
        <row r="307">
          <cell r="A307">
            <v>286</v>
          </cell>
          <cell r="B307">
            <v>143</v>
          </cell>
          <cell r="C307">
            <v>71.5</v>
          </cell>
          <cell r="D307">
            <v>23.833333333333332</v>
          </cell>
          <cell r="E307">
            <v>0</v>
          </cell>
        </row>
        <row r="308">
          <cell r="A308">
            <v>287</v>
          </cell>
          <cell r="B308">
            <v>143.5</v>
          </cell>
          <cell r="C308">
            <v>71.75</v>
          </cell>
          <cell r="D308">
            <v>23.916666666666668</v>
          </cell>
          <cell r="E308">
            <v>0</v>
          </cell>
        </row>
        <row r="309">
          <cell r="A309">
            <v>288</v>
          </cell>
          <cell r="B309">
            <v>144</v>
          </cell>
          <cell r="C309">
            <v>72</v>
          </cell>
          <cell r="D309">
            <v>24</v>
          </cell>
          <cell r="E309">
            <v>0</v>
          </cell>
        </row>
        <row r="310">
          <cell r="A310">
            <v>289</v>
          </cell>
          <cell r="B310">
            <v>144.5</v>
          </cell>
          <cell r="C310">
            <v>72.25</v>
          </cell>
          <cell r="D310">
            <v>24.083333333333332</v>
          </cell>
          <cell r="E310">
            <v>0</v>
          </cell>
        </row>
        <row r="311">
          <cell r="A311">
            <v>290</v>
          </cell>
          <cell r="B311">
            <v>145</v>
          </cell>
          <cell r="C311">
            <v>72.5</v>
          </cell>
          <cell r="D311">
            <v>24.166666666666668</v>
          </cell>
          <cell r="E311">
            <v>0</v>
          </cell>
        </row>
        <row r="312">
          <cell r="A312">
            <v>291</v>
          </cell>
          <cell r="B312">
            <v>145.5</v>
          </cell>
          <cell r="C312">
            <v>72.75</v>
          </cell>
          <cell r="D312">
            <v>24.25</v>
          </cell>
          <cell r="E312">
            <v>0</v>
          </cell>
        </row>
        <row r="313">
          <cell r="A313">
            <v>292</v>
          </cell>
          <cell r="B313">
            <v>146</v>
          </cell>
          <cell r="C313">
            <v>73</v>
          </cell>
          <cell r="D313">
            <v>24.333333333333332</v>
          </cell>
          <cell r="E313">
            <v>0</v>
          </cell>
        </row>
        <row r="314">
          <cell r="A314">
            <v>293</v>
          </cell>
          <cell r="B314">
            <v>146.5</v>
          </cell>
          <cell r="C314">
            <v>73.25</v>
          </cell>
          <cell r="D314">
            <v>24.416666666666668</v>
          </cell>
          <cell r="E314">
            <v>0</v>
          </cell>
        </row>
        <row r="315">
          <cell r="A315">
            <v>294</v>
          </cell>
          <cell r="B315">
            <v>147</v>
          </cell>
          <cell r="C315">
            <v>73.5</v>
          </cell>
          <cell r="D315">
            <v>24.5</v>
          </cell>
          <cell r="E315">
            <v>0</v>
          </cell>
        </row>
        <row r="316">
          <cell r="A316">
            <v>295</v>
          </cell>
          <cell r="B316">
            <v>147.5</v>
          </cell>
          <cell r="C316">
            <v>73.75</v>
          </cell>
          <cell r="D316">
            <v>24.583333333333332</v>
          </cell>
          <cell r="E316">
            <v>0</v>
          </cell>
        </row>
        <row r="317">
          <cell r="A317">
            <v>296</v>
          </cell>
          <cell r="B317">
            <v>148</v>
          </cell>
          <cell r="C317">
            <v>74</v>
          </cell>
          <cell r="D317">
            <v>24.666666666666668</v>
          </cell>
          <cell r="E317">
            <v>0</v>
          </cell>
        </row>
        <row r="318">
          <cell r="A318">
            <v>297</v>
          </cell>
          <cell r="B318">
            <v>148.5</v>
          </cell>
          <cell r="C318">
            <v>74.25</v>
          </cell>
          <cell r="D318">
            <v>24.75</v>
          </cell>
          <cell r="E318">
            <v>0</v>
          </cell>
        </row>
        <row r="319">
          <cell r="A319">
            <v>298</v>
          </cell>
          <cell r="B319">
            <v>149</v>
          </cell>
          <cell r="C319">
            <v>74.5</v>
          </cell>
          <cell r="D319">
            <v>24.833333333333332</v>
          </cell>
          <cell r="E319">
            <v>0</v>
          </cell>
        </row>
        <row r="320">
          <cell r="A320">
            <v>299</v>
          </cell>
          <cell r="B320">
            <v>149.5</v>
          </cell>
          <cell r="C320">
            <v>74.75</v>
          </cell>
          <cell r="D320">
            <v>24.916666666666668</v>
          </cell>
          <cell r="E320">
            <v>0</v>
          </cell>
        </row>
        <row r="321">
          <cell r="A321">
            <v>300</v>
          </cell>
          <cell r="B321">
            <v>150</v>
          </cell>
          <cell r="C321">
            <v>75</v>
          </cell>
          <cell r="D321">
            <v>25</v>
          </cell>
          <cell r="E321">
            <v>0</v>
          </cell>
        </row>
        <row r="322">
          <cell r="A322">
            <v>301</v>
          </cell>
          <cell r="B322">
            <v>150.5</v>
          </cell>
          <cell r="C322">
            <v>75.25</v>
          </cell>
          <cell r="D322">
            <v>25.083333333333332</v>
          </cell>
          <cell r="E322">
            <v>0</v>
          </cell>
        </row>
        <row r="323">
          <cell r="A323">
            <v>302</v>
          </cell>
          <cell r="B323">
            <v>151</v>
          </cell>
          <cell r="C323">
            <v>75.5</v>
          </cell>
          <cell r="D323">
            <v>25.166666666666668</v>
          </cell>
          <cell r="E323">
            <v>0</v>
          </cell>
        </row>
        <row r="324">
          <cell r="A324">
            <v>303</v>
          </cell>
          <cell r="B324">
            <v>151.5</v>
          </cell>
          <cell r="C324">
            <v>75.75</v>
          </cell>
          <cell r="D324">
            <v>25.25</v>
          </cell>
          <cell r="E324">
            <v>0</v>
          </cell>
        </row>
        <row r="325">
          <cell r="A325">
            <v>304</v>
          </cell>
          <cell r="B325">
            <v>152</v>
          </cell>
          <cell r="C325">
            <v>76</v>
          </cell>
          <cell r="D325">
            <v>25.333333333333332</v>
          </cell>
          <cell r="E325">
            <v>0</v>
          </cell>
        </row>
        <row r="326">
          <cell r="A326">
            <v>305</v>
          </cell>
          <cell r="B326">
            <v>152.5</v>
          </cell>
          <cell r="C326">
            <v>76.25</v>
          </cell>
          <cell r="D326">
            <v>25.416666666666668</v>
          </cell>
          <cell r="E326">
            <v>0</v>
          </cell>
        </row>
        <row r="327">
          <cell r="A327">
            <v>306</v>
          </cell>
          <cell r="B327">
            <v>153</v>
          </cell>
          <cell r="C327">
            <v>76.5</v>
          </cell>
          <cell r="D327">
            <v>25.5</v>
          </cell>
          <cell r="E327">
            <v>0</v>
          </cell>
        </row>
        <row r="328">
          <cell r="A328">
            <v>307</v>
          </cell>
          <cell r="B328">
            <v>153.5</v>
          </cell>
          <cell r="C328">
            <v>76.75</v>
          </cell>
          <cell r="D328">
            <v>25.583333333333332</v>
          </cell>
          <cell r="E328">
            <v>0</v>
          </cell>
        </row>
        <row r="329">
          <cell r="A329">
            <v>308</v>
          </cell>
          <cell r="B329">
            <v>154</v>
          </cell>
          <cell r="C329">
            <v>77</v>
          </cell>
          <cell r="D329">
            <v>25.666666666666668</v>
          </cell>
          <cell r="E329">
            <v>0</v>
          </cell>
        </row>
        <row r="330">
          <cell r="A330">
            <v>309</v>
          </cell>
          <cell r="B330">
            <v>154.5</v>
          </cell>
          <cell r="C330">
            <v>77.25</v>
          </cell>
          <cell r="D330">
            <v>25.75</v>
          </cell>
          <cell r="E330">
            <v>0</v>
          </cell>
        </row>
        <row r="331">
          <cell r="A331">
            <v>310</v>
          </cell>
          <cell r="B331">
            <v>155</v>
          </cell>
          <cell r="C331">
            <v>77.5</v>
          </cell>
          <cell r="D331">
            <v>25.833333333333332</v>
          </cell>
          <cell r="E331">
            <v>0</v>
          </cell>
        </row>
        <row r="332">
          <cell r="A332">
            <v>311</v>
          </cell>
          <cell r="B332">
            <v>155.5</v>
          </cell>
          <cell r="C332">
            <v>77.75</v>
          </cell>
          <cell r="D332">
            <v>25.916666666666668</v>
          </cell>
          <cell r="E332">
            <v>0</v>
          </cell>
        </row>
        <row r="333">
          <cell r="A333">
            <v>312</v>
          </cell>
          <cell r="B333">
            <v>156</v>
          </cell>
          <cell r="C333">
            <v>78</v>
          </cell>
          <cell r="D333">
            <v>26</v>
          </cell>
          <cell r="E333">
            <v>0</v>
          </cell>
        </row>
        <row r="334">
          <cell r="A334">
            <v>313</v>
          </cell>
          <cell r="B334">
            <v>156.5</v>
          </cell>
          <cell r="C334">
            <v>78.25</v>
          </cell>
          <cell r="D334">
            <v>26.083333333333332</v>
          </cell>
          <cell r="E334">
            <v>0</v>
          </cell>
        </row>
        <row r="335">
          <cell r="A335">
            <v>314</v>
          </cell>
          <cell r="B335">
            <v>157</v>
          </cell>
          <cell r="C335">
            <v>78.5</v>
          </cell>
          <cell r="D335">
            <v>26.166666666666668</v>
          </cell>
          <cell r="E335">
            <v>0</v>
          </cell>
        </row>
        <row r="336">
          <cell r="A336">
            <v>315</v>
          </cell>
          <cell r="B336">
            <v>157.5</v>
          </cell>
          <cell r="C336">
            <v>78.75</v>
          </cell>
          <cell r="D336">
            <v>26.25</v>
          </cell>
          <cell r="E336">
            <v>0</v>
          </cell>
        </row>
        <row r="337">
          <cell r="A337">
            <v>316</v>
          </cell>
          <cell r="B337">
            <v>158</v>
          </cell>
          <cell r="C337">
            <v>79</v>
          </cell>
          <cell r="D337">
            <v>26.333333333333332</v>
          </cell>
          <cell r="E337">
            <v>0</v>
          </cell>
        </row>
        <row r="338">
          <cell r="A338">
            <v>317</v>
          </cell>
          <cell r="B338">
            <v>158.5</v>
          </cell>
          <cell r="C338">
            <v>79.25</v>
          </cell>
          <cell r="D338">
            <v>26.416666666666668</v>
          </cell>
          <cell r="E338">
            <v>0</v>
          </cell>
        </row>
        <row r="339">
          <cell r="A339">
            <v>318</v>
          </cell>
          <cell r="B339">
            <v>159</v>
          </cell>
          <cell r="C339">
            <v>79.5</v>
          </cell>
          <cell r="D339">
            <v>26.5</v>
          </cell>
          <cell r="E339">
            <v>0</v>
          </cell>
        </row>
        <row r="340">
          <cell r="A340">
            <v>319</v>
          </cell>
          <cell r="B340">
            <v>159.5</v>
          </cell>
          <cell r="C340">
            <v>79.75</v>
          </cell>
          <cell r="D340">
            <v>26.583333333333332</v>
          </cell>
          <cell r="E340">
            <v>0</v>
          </cell>
        </row>
        <row r="341">
          <cell r="A341">
            <v>320</v>
          </cell>
          <cell r="B341">
            <v>160</v>
          </cell>
          <cell r="C341">
            <v>80</v>
          </cell>
          <cell r="D341">
            <v>26.666666666666668</v>
          </cell>
          <cell r="E341">
            <v>0</v>
          </cell>
        </row>
        <row r="342">
          <cell r="A342">
            <v>321</v>
          </cell>
          <cell r="B342">
            <v>160.5</v>
          </cell>
          <cell r="C342">
            <v>80.25</v>
          </cell>
          <cell r="D342">
            <v>26.75</v>
          </cell>
          <cell r="E342">
            <v>0</v>
          </cell>
        </row>
        <row r="343">
          <cell r="A343">
            <v>322</v>
          </cell>
          <cell r="B343">
            <v>161</v>
          </cell>
          <cell r="C343">
            <v>80.5</v>
          </cell>
          <cell r="D343">
            <v>26.833333333333332</v>
          </cell>
          <cell r="E343">
            <v>0</v>
          </cell>
        </row>
        <row r="344">
          <cell r="A344">
            <v>323</v>
          </cell>
          <cell r="B344">
            <v>161.5</v>
          </cell>
          <cell r="C344">
            <v>80.75</v>
          </cell>
          <cell r="D344">
            <v>26.916666666666668</v>
          </cell>
          <cell r="E344">
            <v>0</v>
          </cell>
        </row>
        <row r="345">
          <cell r="A345">
            <v>324</v>
          </cell>
          <cell r="B345">
            <v>162</v>
          </cell>
          <cell r="C345">
            <v>81</v>
          </cell>
          <cell r="D345">
            <v>27</v>
          </cell>
          <cell r="E345">
            <v>0</v>
          </cell>
        </row>
        <row r="346">
          <cell r="A346">
            <v>325</v>
          </cell>
          <cell r="B346">
            <v>162.5</v>
          </cell>
          <cell r="C346">
            <v>81.25</v>
          </cell>
          <cell r="D346">
            <v>27.083333333333332</v>
          </cell>
          <cell r="E346">
            <v>0</v>
          </cell>
        </row>
        <row r="347">
          <cell r="A347">
            <v>326</v>
          </cell>
          <cell r="B347">
            <v>163</v>
          </cell>
          <cell r="C347">
            <v>81.5</v>
          </cell>
          <cell r="D347">
            <v>27.166666666666668</v>
          </cell>
          <cell r="E347">
            <v>0</v>
          </cell>
        </row>
        <row r="348">
          <cell r="A348">
            <v>327</v>
          </cell>
          <cell r="B348">
            <v>163.5</v>
          </cell>
          <cell r="C348">
            <v>81.75</v>
          </cell>
          <cell r="D348">
            <v>27.25</v>
          </cell>
          <cell r="E348">
            <v>0</v>
          </cell>
        </row>
        <row r="349">
          <cell r="A349">
            <v>328</v>
          </cell>
          <cell r="B349">
            <v>164</v>
          </cell>
          <cell r="C349">
            <v>82</v>
          </cell>
          <cell r="D349">
            <v>27.333333333333332</v>
          </cell>
          <cell r="E349">
            <v>0</v>
          </cell>
        </row>
        <row r="350">
          <cell r="A350">
            <v>329</v>
          </cell>
          <cell r="B350">
            <v>164.5</v>
          </cell>
          <cell r="C350">
            <v>82.25</v>
          </cell>
          <cell r="D350">
            <v>27.416666666666668</v>
          </cell>
          <cell r="E350">
            <v>0</v>
          </cell>
        </row>
        <row r="351">
          <cell r="A351">
            <v>330</v>
          </cell>
          <cell r="B351">
            <v>165</v>
          </cell>
          <cell r="C351">
            <v>82.5</v>
          </cell>
          <cell r="D351">
            <v>27.5</v>
          </cell>
          <cell r="E351">
            <v>0</v>
          </cell>
        </row>
        <row r="352">
          <cell r="A352">
            <v>331</v>
          </cell>
          <cell r="B352">
            <v>165.5</v>
          </cell>
          <cell r="C352">
            <v>82.75</v>
          </cell>
          <cell r="D352">
            <v>27.583333333333332</v>
          </cell>
          <cell r="E352">
            <v>0</v>
          </cell>
        </row>
        <row r="353">
          <cell r="A353">
            <v>332</v>
          </cell>
          <cell r="B353">
            <v>166</v>
          </cell>
          <cell r="C353">
            <v>83</v>
          </cell>
          <cell r="D353">
            <v>27.666666666666668</v>
          </cell>
          <cell r="E353">
            <v>0</v>
          </cell>
        </row>
        <row r="354">
          <cell r="A354">
            <v>333</v>
          </cell>
          <cell r="B354">
            <v>166.5</v>
          </cell>
          <cell r="C354">
            <v>83.25</v>
          </cell>
          <cell r="D354">
            <v>27.75</v>
          </cell>
          <cell r="E354">
            <v>0</v>
          </cell>
        </row>
        <row r="355">
          <cell r="A355">
            <v>334</v>
          </cell>
          <cell r="B355">
            <v>167</v>
          </cell>
          <cell r="C355">
            <v>83.5</v>
          </cell>
          <cell r="D355">
            <v>27.833333333333332</v>
          </cell>
          <cell r="E355">
            <v>0</v>
          </cell>
        </row>
        <row r="356">
          <cell r="A356">
            <v>335</v>
          </cell>
          <cell r="B356">
            <v>167.5</v>
          </cell>
          <cell r="C356">
            <v>83.75</v>
          </cell>
          <cell r="D356">
            <v>27.916666666666668</v>
          </cell>
          <cell r="E356">
            <v>0</v>
          </cell>
        </row>
        <row r="357">
          <cell r="A357">
            <v>336</v>
          </cell>
          <cell r="B357">
            <v>168</v>
          </cell>
          <cell r="C357">
            <v>84</v>
          </cell>
          <cell r="D357">
            <v>28</v>
          </cell>
          <cell r="E357">
            <v>0</v>
          </cell>
        </row>
        <row r="358">
          <cell r="A358">
            <v>337</v>
          </cell>
          <cell r="B358">
            <v>168.5</v>
          </cell>
          <cell r="C358">
            <v>84.25</v>
          </cell>
          <cell r="D358">
            <v>28.083333333333332</v>
          </cell>
          <cell r="E358">
            <v>0</v>
          </cell>
        </row>
        <row r="359">
          <cell r="A359">
            <v>338</v>
          </cell>
          <cell r="B359">
            <v>169</v>
          </cell>
          <cell r="C359">
            <v>84.5</v>
          </cell>
          <cell r="D359">
            <v>28.166666666666668</v>
          </cell>
          <cell r="E359">
            <v>0</v>
          </cell>
        </row>
        <row r="360">
          <cell r="A360">
            <v>339</v>
          </cell>
          <cell r="B360">
            <v>169.5</v>
          </cell>
          <cell r="C360">
            <v>84.75</v>
          </cell>
          <cell r="D360">
            <v>28.25</v>
          </cell>
          <cell r="E360">
            <v>0</v>
          </cell>
        </row>
        <row r="361">
          <cell r="A361">
            <v>340</v>
          </cell>
          <cell r="B361">
            <v>170</v>
          </cell>
          <cell r="C361">
            <v>85</v>
          </cell>
          <cell r="D361">
            <v>28.333333333333332</v>
          </cell>
          <cell r="E361">
            <v>0</v>
          </cell>
        </row>
        <row r="362">
          <cell r="A362">
            <v>341</v>
          </cell>
          <cell r="B362">
            <v>170.5</v>
          </cell>
          <cell r="C362">
            <v>85.25</v>
          </cell>
          <cell r="D362">
            <v>28.416666666666668</v>
          </cell>
          <cell r="E362">
            <v>0</v>
          </cell>
        </row>
        <row r="363">
          <cell r="A363">
            <v>342</v>
          </cell>
          <cell r="B363">
            <v>171</v>
          </cell>
          <cell r="C363">
            <v>85.5</v>
          </cell>
          <cell r="D363">
            <v>28.5</v>
          </cell>
          <cell r="E363">
            <v>0</v>
          </cell>
        </row>
        <row r="364">
          <cell r="A364">
            <v>343</v>
          </cell>
          <cell r="B364">
            <v>171.5</v>
          </cell>
          <cell r="C364">
            <v>85.75</v>
          </cell>
          <cell r="D364">
            <v>28.583333333333332</v>
          </cell>
          <cell r="E364">
            <v>0</v>
          </cell>
        </row>
        <row r="365">
          <cell r="A365">
            <v>344</v>
          </cell>
          <cell r="B365">
            <v>172</v>
          </cell>
          <cell r="C365">
            <v>86</v>
          </cell>
          <cell r="D365">
            <v>28.666666666666668</v>
          </cell>
          <cell r="E365">
            <v>0</v>
          </cell>
        </row>
        <row r="366">
          <cell r="A366">
            <v>345</v>
          </cell>
          <cell r="B366">
            <v>172.5</v>
          </cell>
          <cell r="C366">
            <v>86.25</v>
          </cell>
          <cell r="D366">
            <v>28.75</v>
          </cell>
          <cell r="E366">
            <v>0</v>
          </cell>
        </row>
        <row r="367">
          <cell r="A367">
            <v>346</v>
          </cell>
          <cell r="B367">
            <v>173</v>
          </cell>
          <cell r="C367">
            <v>86.5</v>
          </cell>
          <cell r="D367">
            <v>28.833333333333332</v>
          </cell>
          <cell r="E367">
            <v>0</v>
          </cell>
        </row>
        <row r="368">
          <cell r="A368">
            <v>347</v>
          </cell>
          <cell r="B368">
            <v>173.5</v>
          </cell>
          <cell r="C368">
            <v>86.75</v>
          </cell>
          <cell r="D368">
            <v>28.916666666666668</v>
          </cell>
          <cell r="E368">
            <v>0</v>
          </cell>
        </row>
        <row r="369">
          <cell r="A369">
            <v>348</v>
          </cell>
          <cell r="B369">
            <v>174</v>
          </cell>
          <cell r="C369">
            <v>87</v>
          </cell>
          <cell r="D369">
            <v>29</v>
          </cell>
          <cell r="E369">
            <v>0</v>
          </cell>
        </row>
        <row r="370">
          <cell r="A370">
            <v>349</v>
          </cell>
          <cell r="B370">
            <v>174.5</v>
          </cell>
          <cell r="C370">
            <v>87.25</v>
          </cell>
          <cell r="D370">
            <v>29.083333333333332</v>
          </cell>
          <cell r="E370">
            <v>0</v>
          </cell>
        </row>
        <row r="371">
          <cell r="A371">
            <v>350</v>
          </cell>
          <cell r="B371">
            <v>175</v>
          </cell>
          <cell r="C371">
            <v>87.5</v>
          </cell>
          <cell r="D371">
            <v>29.166666666666668</v>
          </cell>
          <cell r="E371">
            <v>0</v>
          </cell>
        </row>
        <row r="372">
          <cell r="A372">
            <v>351</v>
          </cell>
          <cell r="B372">
            <v>175.5</v>
          </cell>
          <cell r="C372">
            <v>87.75</v>
          </cell>
          <cell r="D372">
            <v>29.25</v>
          </cell>
          <cell r="E372">
            <v>0</v>
          </cell>
        </row>
        <row r="373">
          <cell r="A373">
            <v>352</v>
          </cell>
          <cell r="B373">
            <v>176</v>
          </cell>
          <cell r="C373">
            <v>88</v>
          </cell>
          <cell r="D373">
            <v>29.333333333333332</v>
          </cell>
          <cell r="E373">
            <v>0</v>
          </cell>
        </row>
        <row r="374">
          <cell r="A374">
            <v>353</v>
          </cell>
          <cell r="B374">
            <v>176.5</v>
          </cell>
          <cell r="C374">
            <v>88.25</v>
          </cell>
          <cell r="D374">
            <v>29.416666666666668</v>
          </cell>
          <cell r="E374">
            <v>0</v>
          </cell>
        </row>
        <row r="375">
          <cell r="A375">
            <v>354</v>
          </cell>
          <cell r="B375">
            <v>177</v>
          </cell>
          <cell r="C375">
            <v>88.5</v>
          </cell>
          <cell r="D375">
            <v>29.5</v>
          </cell>
          <cell r="E375">
            <v>0</v>
          </cell>
        </row>
        <row r="376">
          <cell r="A376">
            <v>355</v>
          </cell>
          <cell r="B376">
            <v>177.5</v>
          </cell>
          <cell r="C376">
            <v>88.75</v>
          </cell>
          <cell r="D376">
            <v>29.583333333333332</v>
          </cell>
          <cell r="E376">
            <v>0</v>
          </cell>
        </row>
        <row r="377">
          <cell r="A377">
            <v>356</v>
          </cell>
          <cell r="B377">
            <v>178</v>
          </cell>
          <cell r="C377">
            <v>89</v>
          </cell>
          <cell r="D377">
            <v>29.666666666666668</v>
          </cell>
          <cell r="E377">
            <v>0</v>
          </cell>
        </row>
        <row r="378">
          <cell r="A378">
            <v>357</v>
          </cell>
          <cell r="B378">
            <v>178.5</v>
          </cell>
          <cell r="C378">
            <v>89.25</v>
          </cell>
          <cell r="D378">
            <v>29.75</v>
          </cell>
          <cell r="E378">
            <v>0</v>
          </cell>
        </row>
        <row r="379">
          <cell r="A379">
            <v>358</v>
          </cell>
          <cell r="B379">
            <v>179</v>
          </cell>
          <cell r="C379">
            <v>89.5</v>
          </cell>
          <cell r="D379">
            <v>29.833333333333332</v>
          </cell>
          <cell r="E379">
            <v>0</v>
          </cell>
        </row>
        <row r="380">
          <cell r="A380">
            <v>359</v>
          </cell>
          <cell r="B380">
            <v>179.5</v>
          </cell>
          <cell r="C380">
            <v>89.75</v>
          </cell>
          <cell r="D380">
            <v>29.916666666666668</v>
          </cell>
          <cell r="E380">
            <v>0</v>
          </cell>
        </row>
        <row r="381">
          <cell r="A381">
            <v>360</v>
          </cell>
          <cell r="B381">
            <v>180</v>
          </cell>
          <cell r="C381">
            <v>90</v>
          </cell>
          <cell r="D381">
            <v>30</v>
          </cell>
          <cell r="E381">
            <v>0</v>
          </cell>
        </row>
      </sheetData>
      <sheetData sheetId="6">
        <row r="17">
          <cell r="AG17">
            <v>11.433221053735041</v>
          </cell>
        </row>
        <row r="18">
          <cell r="AA18">
            <v>2.8781963995996529</v>
          </cell>
        </row>
        <row r="22">
          <cell r="A22">
            <v>1</v>
          </cell>
          <cell r="B22">
            <v>0.5</v>
          </cell>
          <cell r="C22">
            <v>0.25</v>
          </cell>
          <cell r="D22">
            <v>8.3333333333333329E-2</v>
          </cell>
          <cell r="E22">
            <v>9954433.6708308253</v>
          </cell>
        </row>
        <row r="23">
          <cell r="A23">
            <v>2</v>
          </cell>
          <cell r="B23">
            <v>1</v>
          </cell>
          <cell r="C23">
            <v>0.5</v>
          </cell>
          <cell r="D23">
            <v>0.16666666666666666</v>
          </cell>
          <cell r="E23">
            <v>9908908.0167511757</v>
          </cell>
        </row>
        <row r="24">
          <cell r="A24">
            <v>3</v>
          </cell>
          <cell r="B24">
            <v>1.5</v>
          </cell>
          <cell r="C24">
            <v>0.75</v>
          </cell>
          <cell r="D24">
            <v>0.25</v>
          </cell>
          <cell r="E24">
            <v>9863422.929417517</v>
          </cell>
        </row>
        <row r="25">
          <cell r="A25">
            <v>4</v>
          </cell>
          <cell r="B25">
            <v>2</v>
          </cell>
          <cell r="C25">
            <v>1</v>
          </cell>
          <cell r="D25">
            <v>0.33333333333333331</v>
          </cell>
          <cell r="E25">
            <v>9817978.3006162494</v>
          </cell>
        </row>
        <row r="26">
          <cell r="A26">
            <v>5</v>
          </cell>
          <cell r="B26">
            <v>2.5</v>
          </cell>
          <cell r="C26">
            <v>1.25</v>
          </cell>
          <cell r="D26">
            <v>0.41666666666666669</v>
          </cell>
          <cell r="E26">
            <v>9772574.0222634319</v>
          </cell>
        </row>
        <row r="27">
          <cell r="A27">
            <v>6</v>
          </cell>
          <cell r="B27">
            <v>3</v>
          </cell>
          <cell r="C27">
            <v>1.5</v>
          </cell>
          <cell r="D27">
            <v>0.5</v>
          </cell>
          <cell r="E27">
            <v>9727209.9864045177</v>
          </cell>
        </row>
        <row r="28">
          <cell r="A28">
            <v>7</v>
          </cell>
          <cell r="B28">
            <v>3.5</v>
          </cell>
          <cell r="C28">
            <v>1.75</v>
          </cell>
          <cell r="D28">
            <v>0.58333333333333337</v>
          </cell>
          <cell r="E28">
            <v>9681886.0852140766</v>
          </cell>
        </row>
        <row r="29">
          <cell r="A29">
            <v>8</v>
          </cell>
          <cell r="B29">
            <v>4</v>
          </cell>
          <cell r="C29">
            <v>2</v>
          </cell>
          <cell r="D29">
            <v>0.66666666666666663</v>
          </cell>
          <cell r="E29">
            <v>9636602.2109955233</v>
          </cell>
        </row>
        <row r="30">
          <cell r="A30">
            <v>9</v>
          </cell>
          <cell r="B30">
            <v>4.5</v>
          </cell>
          <cell r="C30">
            <v>2.25</v>
          </cell>
          <cell r="D30">
            <v>0.75</v>
          </cell>
          <cell r="E30">
            <v>9591358.2561808471</v>
          </cell>
        </row>
        <row r="31">
          <cell r="A31">
            <v>10</v>
          </cell>
          <cell r="B31">
            <v>5</v>
          </cell>
          <cell r="C31">
            <v>2.5</v>
          </cell>
          <cell r="D31">
            <v>0.83333333333333337</v>
          </cell>
          <cell r="E31">
            <v>9546154.1133303437</v>
          </cell>
        </row>
        <row r="32">
          <cell r="A32">
            <v>11</v>
          </cell>
          <cell r="B32">
            <v>5.5</v>
          </cell>
          <cell r="C32">
            <v>2.75</v>
          </cell>
          <cell r="D32">
            <v>0.91666666666666663</v>
          </cell>
          <cell r="E32">
            <v>9500989.675132338</v>
          </cell>
        </row>
        <row r="33">
          <cell r="A33">
            <v>12</v>
          </cell>
          <cell r="B33">
            <v>6</v>
          </cell>
          <cell r="C33">
            <v>3</v>
          </cell>
          <cell r="D33">
            <v>1</v>
          </cell>
          <cell r="E33">
            <v>9455864.8344029207</v>
          </cell>
        </row>
        <row r="34">
          <cell r="A34">
            <v>13</v>
          </cell>
          <cell r="B34">
            <v>6.5</v>
          </cell>
          <cell r="C34">
            <v>3.25</v>
          </cell>
          <cell r="D34">
            <v>1.0833333333333333</v>
          </cell>
          <cell r="E34">
            <v>9410779.4840856716</v>
          </cell>
        </row>
        <row r="35">
          <cell r="A35">
            <v>14</v>
          </cell>
          <cell r="B35">
            <v>7</v>
          </cell>
          <cell r="C35">
            <v>3.5</v>
          </cell>
          <cell r="D35">
            <v>1.1666666666666667</v>
          </cell>
          <cell r="E35">
            <v>9365733.5172513966</v>
          </cell>
        </row>
        <row r="36">
          <cell r="A36">
            <v>15</v>
          </cell>
          <cell r="B36">
            <v>7.5</v>
          </cell>
          <cell r="C36">
            <v>3.75</v>
          </cell>
          <cell r="D36">
            <v>1.25</v>
          </cell>
          <cell r="E36">
            <v>9320726.8270978536</v>
          </cell>
        </row>
        <row r="37">
          <cell r="A37">
            <v>16</v>
          </cell>
          <cell r="B37">
            <v>8</v>
          </cell>
          <cell r="C37">
            <v>4</v>
          </cell>
          <cell r="D37">
            <v>1.3333333333333333</v>
          </cell>
          <cell r="E37">
            <v>9275759.3069494888</v>
          </cell>
        </row>
        <row r="38">
          <cell r="A38">
            <v>17</v>
          </cell>
          <cell r="B38">
            <v>8.5</v>
          </cell>
          <cell r="C38">
            <v>4.25</v>
          </cell>
          <cell r="D38">
            <v>1.4166666666666667</v>
          </cell>
          <cell r="E38">
            <v>9230830.850257162</v>
          </cell>
        </row>
        <row r="39">
          <cell r="A39">
            <v>18</v>
          </cell>
          <cell r="B39">
            <v>9</v>
          </cell>
          <cell r="C39">
            <v>4.5</v>
          </cell>
          <cell r="D39">
            <v>1.5</v>
          </cell>
          <cell r="E39">
            <v>9185941.3505978845</v>
          </cell>
        </row>
        <row r="40">
          <cell r="A40">
            <v>19</v>
          </cell>
          <cell r="B40">
            <v>9.5</v>
          </cell>
          <cell r="C40">
            <v>4.75</v>
          </cell>
          <cell r="D40">
            <v>1.5833333333333333</v>
          </cell>
          <cell r="E40">
            <v>9141090.7016745452</v>
          </cell>
        </row>
        <row r="41">
          <cell r="A41">
            <v>20</v>
          </cell>
          <cell r="B41">
            <v>10</v>
          </cell>
          <cell r="C41">
            <v>5</v>
          </cell>
          <cell r="D41">
            <v>1.6666666666666667</v>
          </cell>
          <cell r="E41">
            <v>9096278.7973156497</v>
          </cell>
        </row>
        <row r="42">
          <cell r="A42">
            <v>21</v>
          </cell>
          <cell r="B42">
            <v>10.5</v>
          </cell>
          <cell r="C42">
            <v>5.25</v>
          </cell>
          <cell r="D42">
            <v>1.75</v>
          </cell>
          <cell r="E42">
            <v>9051505.5314750504</v>
          </cell>
        </row>
        <row r="43">
          <cell r="A43">
            <v>22</v>
          </cell>
          <cell r="B43">
            <v>11</v>
          </cell>
          <cell r="C43">
            <v>5.5</v>
          </cell>
          <cell r="D43">
            <v>1.8333333333333333</v>
          </cell>
          <cell r="E43">
            <v>9006770.7982316818</v>
          </cell>
        </row>
        <row r="44">
          <cell r="A44">
            <v>23</v>
          </cell>
          <cell r="B44">
            <v>11.5</v>
          </cell>
          <cell r="C44">
            <v>5.75</v>
          </cell>
          <cell r="D44">
            <v>1.9166666666666667</v>
          </cell>
          <cell r="E44">
            <v>8962074.4917892888</v>
          </cell>
        </row>
        <row r="45">
          <cell r="A45">
            <v>24</v>
          </cell>
          <cell r="B45">
            <v>12</v>
          </cell>
          <cell r="C45">
            <v>6</v>
          </cell>
          <cell r="D45">
            <v>2</v>
          </cell>
          <cell r="E45">
            <v>8917416.5064761657</v>
          </cell>
        </row>
        <row r="46">
          <cell r="A46">
            <v>25</v>
          </cell>
          <cell r="B46">
            <v>12.5</v>
          </cell>
          <cell r="C46">
            <v>6.25</v>
          </cell>
          <cell r="D46">
            <v>2.0833333333333335</v>
          </cell>
          <cell r="E46">
            <v>8872796.7367448919</v>
          </cell>
        </row>
        <row r="47">
          <cell r="A47">
            <v>26</v>
          </cell>
          <cell r="B47">
            <v>13</v>
          </cell>
          <cell r="C47">
            <v>6.5</v>
          </cell>
          <cell r="D47">
            <v>2.1666666666666665</v>
          </cell>
          <cell r="E47">
            <v>8828215.0771720633</v>
          </cell>
        </row>
        <row r="48">
          <cell r="A48">
            <v>27</v>
          </cell>
          <cell r="B48">
            <v>13.5</v>
          </cell>
          <cell r="C48">
            <v>6.75</v>
          </cell>
          <cell r="D48">
            <v>2.25</v>
          </cell>
          <cell r="E48">
            <v>8783671.4224580284</v>
          </cell>
        </row>
        <row r="49">
          <cell r="A49">
            <v>28</v>
          </cell>
          <cell r="B49">
            <v>14</v>
          </cell>
          <cell r="C49">
            <v>7</v>
          </cell>
          <cell r="D49">
            <v>2.3333333333333335</v>
          </cell>
          <cell r="E49">
            <v>8739165.6674266253</v>
          </cell>
        </row>
        <row r="50">
          <cell r="A50">
            <v>29</v>
          </cell>
          <cell r="B50">
            <v>14.5</v>
          </cell>
          <cell r="C50">
            <v>7.25</v>
          </cell>
          <cell r="D50">
            <v>2.4166666666666665</v>
          </cell>
          <cell r="E50">
            <v>8694697.7070249189</v>
          </cell>
        </row>
        <row r="51">
          <cell r="A51">
            <v>30</v>
          </cell>
          <cell r="B51">
            <v>15</v>
          </cell>
          <cell r="C51">
            <v>7.5</v>
          </cell>
          <cell r="D51">
            <v>2.5</v>
          </cell>
          <cell r="E51">
            <v>8650267.4363229331</v>
          </cell>
        </row>
        <row r="52">
          <cell r="A52">
            <v>31</v>
          </cell>
          <cell r="B52">
            <v>15.5</v>
          </cell>
          <cell r="C52">
            <v>7.75</v>
          </cell>
          <cell r="D52">
            <v>2.5833333333333335</v>
          </cell>
          <cell r="E52">
            <v>8605874.7505133897</v>
          </cell>
        </row>
        <row r="53">
          <cell r="A53">
            <v>32</v>
          </cell>
          <cell r="B53">
            <v>16</v>
          </cell>
          <cell r="C53">
            <v>8</v>
          </cell>
          <cell r="D53">
            <v>2.6666666666666665</v>
          </cell>
          <cell r="E53">
            <v>8561519.544911446</v>
          </cell>
        </row>
        <row r="54">
          <cell r="A54">
            <v>33</v>
          </cell>
          <cell r="B54">
            <v>16.5</v>
          </cell>
          <cell r="C54">
            <v>8.25</v>
          </cell>
          <cell r="D54">
            <v>2.75</v>
          </cell>
          <cell r="E54">
            <v>8517201.7149544321</v>
          </cell>
        </row>
        <row r="55">
          <cell r="A55">
            <v>34</v>
          </cell>
          <cell r="B55">
            <v>17</v>
          </cell>
          <cell r="C55">
            <v>8.5</v>
          </cell>
          <cell r="D55">
            <v>2.8333333333333335</v>
          </cell>
          <cell r="E55">
            <v>8472921.1562015899</v>
          </cell>
        </row>
        <row r="56">
          <cell r="A56">
            <v>35</v>
          </cell>
          <cell r="B56">
            <v>17.5</v>
          </cell>
          <cell r="C56">
            <v>8.75</v>
          </cell>
          <cell r="D56">
            <v>2.9166666666666665</v>
          </cell>
          <cell r="E56">
            <v>8428677.7643338088</v>
          </cell>
        </row>
        <row r="57">
          <cell r="A57">
            <v>36</v>
          </cell>
          <cell r="B57">
            <v>18</v>
          </cell>
          <cell r="C57">
            <v>9</v>
          </cell>
          <cell r="D57">
            <v>3</v>
          </cell>
          <cell r="E57">
            <v>8384471.4351533661</v>
          </cell>
        </row>
        <row r="58">
          <cell r="A58">
            <v>37</v>
          </cell>
          <cell r="B58">
            <v>18.5</v>
          </cell>
          <cell r="C58">
            <v>9.25</v>
          </cell>
          <cell r="D58">
            <v>3.0833333333333335</v>
          </cell>
          <cell r="E58">
            <v>8340302.0645836638</v>
          </cell>
        </row>
        <row r="59">
          <cell r="A59">
            <v>38</v>
          </cell>
          <cell r="B59">
            <v>19</v>
          </cell>
          <cell r="C59">
            <v>9.5</v>
          </cell>
          <cell r="D59">
            <v>3.1666666666666665</v>
          </cell>
          <cell r="E59">
            <v>8296169.5486689713</v>
          </cell>
        </row>
        <row r="60">
          <cell r="A60">
            <v>39</v>
          </cell>
          <cell r="B60">
            <v>19.5</v>
          </cell>
          <cell r="C60">
            <v>9.75</v>
          </cell>
          <cell r="D60">
            <v>3.25</v>
          </cell>
          <cell r="E60">
            <v>8252073.7835741621</v>
          </cell>
        </row>
        <row r="61">
          <cell r="A61">
            <v>40</v>
          </cell>
          <cell r="B61">
            <v>20</v>
          </cell>
          <cell r="C61">
            <v>10</v>
          </cell>
          <cell r="D61">
            <v>3.3333333333333335</v>
          </cell>
          <cell r="E61">
            <v>8208014.6655844543</v>
          </cell>
        </row>
        <row r="62">
          <cell r="A62">
            <v>41</v>
          </cell>
          <cell r="B62">
            <v>20.5</v>
          </cell>
          <cell r="C62">
            <v>10.25</v>
          </cell>
          <cell r="D62">
            <v>3.4166666666666665</v>
          </cell>
          <cell r="E62">
            <v>8163992.0911051519</v>
          </cell>
        </row>
        <row r="63">
          <cell r="A63">
            <v>42</v>
          </cell>
          <cell r="B63">
            <v>21</v>
          </cell>
          <cell r="C63">
            <v>10.5</v>
          </cell>
          <cell r="D63">
            <v>3.5</v>
          </cell>
          <cell r="E63">
            <v>8120005.9566613864</v>
          </cell>
        </row>
        <row r="64">
          <cell r="A64">
            <v>43</v>
          </cell>
          <cell r="B64">
            <v>21.5</v>
          </cell>
          <cell r="C64">
            <v>10.75</v>
          </cell>
          <cell r="D64">
            <v>3.5833333333333335</v>
          </cell>
          <cell r="E64">
            <v>8076056.1588978553</v>
          </cell>
        </row>
        <row r="65">
          <cell r="A65">
            <v>44</v>
          </cell>
          <cell r="B65">
            <v>22</v>
          </cell>
          <cell r="C65">
            <v>11</v>
          </cell>
          <cell r="D65">
            <v>3.6666666666666665</v>
          </cell>
          <cell r="E65">
            <v>8032142.5945785642</v>
          </cell>
        </row>
        <row r="66">
          <cell r="A66">
            <v>45</v>
          </cell>
          <cell r="B66">
            <v>22.5</v>
          </cell>
          <cell r="C66">
            <v>11.25</v>
          </cell>
          <cell r="D66">
            <v>3.75</v>
          </cell>
          <cell r="E66">
            <v>7988265.1605865704</v>
          </cell>
        </row>
        <row r="67">
          <cell r="A67">
            <v>46</v>
          </cell>
          <cell r="B67">
            <v>23</v>
          </cell>
          <cell r="C67">
            <v>11.5</v>
          </cell>
          <cell r="D67">
            <v>3.8333333333333335</v>
          </cell>
          <cell r="E67">
            <v>7944423.7539237225</v>
          </cell>
        </row>
        <row r="68">
          <cell r="A68">
            <v>47</v>
          </cell>
          <cell r="B68">
            <v>23.5</v>
          </cell>
          <cell r="C68">
            <v>11.75</v>
          </cell>
          <cell r="D68">
            <v>3.9166666666666665</v>
          </cell>
          <cell r="E68">
            <v>7900618.2717104051</v>
          </cell>
        </row>
        <row r="69">
          <cell r="A69">
            <v>48</v>
          </cell>
          <cell r="B69">
            <v>24</v>
          </cell>
          <cell r="C69">
            <v>12</v>
          </cell>
          <cell r="D69">
            <v>4</v>
          </cell>
          <cell r="E69">
            <v>7856848.6111852815</v>
          </cell>
        </row>
        <row r="70">
          <cell r="A70">
            <v>49</v>
          </cell>
          <cell r="B70">
            <v>24.5</v>
          </cell>
          <cell r="C70">
            <v>12.25</v>
          </cell>
          <cell r="D70">
            <v>4.083333333333333</v>
          </cell>
          <cell r="E70">
            <v>7813114.6697050342</v>
          </cell>
        </row>
        <row r="71">
          <cell r="A71">
            <v>50</v>
          </cell>
          <cell r="B71">
            <v>25</v>
          </cell>
          <cell r="C71">
            <v>12.5</v>
          </cell>
          <cell r="D71">
            <v>4.166666666666667</v>
          </cell>
          <cell r="E71">
            <v>7769416.3447441114</v>
          </cell>
        </row>
        <row r="72">
          <cell r="A72">
            <v>51</v>
          </cell>
          <cell r="B72">
            <v>25.5</v>
          </cell>
          <cell r="C72">
            <v>12.75</v>
          </cell>
          <cell r="D72">
            <v>4.25</v>
          </cell>
          <cell r="E72">
            <v>7725753.53389447</v>
          </cell>
        </row>
        <row r="73">
          <cell r="A73">
            <v>52</v>
          </cell>
          <cell r="B73">
            <v>26</v>
          </cell>
          <cell r="C73">
            <v>13</v>
          </cell>
          <cell r="D73">
            <v>4.333333333333333</v>
          </cell>
          <cell r="E73">
            <v>7682126.1348653184</v>
          </cell>
        </row>
        <row r="74">
          <cell r="A74">
            <v>53</v>
          </cell>
          <cell r="B74">
            <v>26.5</v>
          </cell>
          <cell r="C74">
            <v>13.25</v>
          </cell>
          <cell r="D74">
            <v>4.416666666666667</v>
          </cell>
          <cell r="E74">
            <v>7638534.0454828646</v>
          </cell>
        </row>
        <row r="75">
          <cell r="A75">
            <v>54</v>
          </cell>
          <cell r="B75">
            <v>27</v>
          </cell>
          <cell r="C75">
            <v>13.5</v>
          </cell>
          <cell r="D75">
            <v>4.5</v>
          </cell>
          <cell r="E75">
            <v>7594977.1636900557</v>
          </cell>
        </row>
        <row r="76">
          <cell r="A76">
            <v>55</v>
          </cell>
          <cell r="B76">
            <v>27.5</v>
          </cell>
          <cell r="C76">
            <v>13.75</v>
          </cell>
          <cell r="D76">
            <v>4.583333333333333</v>
          </cell>
          <cell r="E76">
            <v>7551455.3875463298</v>
          </cell>
        </row>
        <row r="77">
          <cell r="A77">
            <v>56</v>
          </cell>
          <cell r="B77">
            <v>28</v>
          </cell>
          <cell r="C77">
            <v>14</v>
          </cell>
          <cell r="D77">
            <v>4.666666666666667</v>
          </cell>
          <cell r="E77">
            <v>7507968.6152273547</v>
          </cell>
        </row>
        <row r="78">
          <cell r="A78">
            <v>57</v>
          </cell>
          <cell r="B78">
            <v>28.5</v>
          </cell>
          <cell r="C78">
            <v>14.25</v>
          </cell>
          <cell r="D78">
            <v>4.75</v>
          </cell>
          <cell r="E78">
            <v>7464516.7450247807</v>
          </cell>
        </row>
        <row r="79">
          <cell r="A79">
            <v>58</v>
          </cell>
          <cell r="B79">
            <v>29</v>
          </cell>
          <cell r="C79">
            <v>14.5</v>
          </cell>
          <cell r="D79">
            <v>4.833333333333333</v>
          </cell>
          <cell r="E79">
            <v>7421099.6753459815</v>
          </cell>
        </row>
        <row r="80">
          <cell r="A80">
            <v>59</v>
          </cell>
          <cell r="B80">
            <v>29.5</v>
          </cell>
          <cell r="C80">
            <v>14.75</v>
          </cell>
          <cell r="D80">
            <v>4.916666666666667</v>
          </cell>
          <cell r="E80">
            <v>7377717.3047138033</v>
          </cell>
        </row>
        <row r="81">
          <cell r="A81">
            <v>60</v>
          </cell>
          <cell r="B81">
            <v>30</v>
          </cell>
          <cell r="C81">
            <v>15</v>
          </cell>
          <cell r="D81">
            <v>5</v>
          </cell>
          <cell r="E81">
            <v>7334369.5317663131</v>
          </cell>
        </row>
        <row r="82">
          <cell r="A82">
            <v>61</v>
          </cell>
          <cell r="B82">
            <v>30.5</v>
          </cell>
          <cell r="C82">
            <v>15.25</v>
          </cell>
          <cell r="D82">
            <v>5.083333333333333</v>
          </cell>
          <cell r="E82">
            <v>7291056.255256542</v>
          </cell>
        </row>
        <row r="83">
          <cell r="A83">
            <v>62</v>
          </cell>
          <cell r="B83">
            <v>31</v>
          </cell>
          <cell r="C83">
            <v>15.5</v>
          </cell>
          <cell r="D83">
            <v>5.166666666666667</v>
          </cell>
          <cell r="E83">
            <v>7247777.3740522359</v>
          </cell>
        </row>
        <row r="84">
          <cell r="A84">
            <v>63</v>
          </cell>
          <cell r="B84">
            <v>31.5</v>
          </cell>
          <cell r="C84">
            <v>15.75</v>
          </cell>
          <cell r="D84">
            <v>5.25</v>
          </cell>
          <cell r="E84">
            <v>7204532.7871356038</v>
          </cell>
        </row>
        <row r="85">
          <cell r="A85">
            <v>64</v>
          </cell>
          <cell r="B85">
            <v>32</v>
          </cell>
          <cell r="C85">
            <v>16</v>
          </cell>
          <cell r="D85">
            <v>5.333333333333333</v>
          </cell>
          <cell r="E85">
            <v>7161322.393603066</v>
          </cell>
        </row>
        <row r="86">
          <cell r="A86">
            <v>65</v>
          </cell>
          <cell r="B86">
            <v>32.5</v>
          </cell>
          <cell r="C86">
            <v>16.25</v>
          </cell>
          <cell r="D86">
            <v>5.416666666666667</v>
          </cell>
          <cell r="E86">
            <v>7118146.0926649999</v>
          </cell>
        </row>
        <row r="87">
          <cell r="A87">
            <v>66</v>
          </cell>
          <cell r="B87">
            <v>33</v>
          </cell>
          <cell r="C87">
            <v>16.5</v>
          </cell>
          <cell r="D87">
            <v>5.5</v>
          </cell>
          <cell r="E87">
            <v>7075003.783645493</v>
          </cell>
        </row>
        <row r="88">
          <cell r="A88">
            <v>67</v>
          </cell>
          <cell r="B88">
            <v>33.5</v>
          </cell>
          <cell r="C88">
            <v>16.75</v>
          </cell>
          <cell r="D88">
            <v>5.583333333333333</v>
          </cell>
          <cell r="E88">
            <v>7031895.3659820901</v>
          </cell>
        </row>
        <row r="89">
          <cell r="A89">
            <v>68</v>
          </cell>
          <cell r="B89">
            <v>34</v>
          </cell>
          <cell r="C89">
            <v>17</v>
          </cell>
          <cell r="D89">
            <v>5.666666666666667</v>
          </cell>
          <cell r="E89">
            <v>6988820.7392255431</v>
          </cell>
        </row>
        <row r="90">
          <cell r="A90">
            <v>69</v>
          </cell>
          <cell r="B90">
            <v>34.5</v>
          </cell>
          <cell r="C90">
            <v>17.25</v>
          </cell>
          <cell r="D90">
            <v>5.75</v>
          </cell>
          <cell r="E90">
            <v>6945779.803039562</v>
          </cell>
        </row>
        <row r="91">
          <cell r="A91">
            <v>70</v>
          </cell>
          <cell r="B91">
            <v>35</v>
          </cell>
          <cell r="C91">
            <v>17.5</v>
          </cell>
          <cell r="D91">
            <v>5.833333333333333</v>
          </cell>
          <cell r="E91">
            <v>6902772.4572005663</v>
          </cell>
        </row>
        <row r="92">
          <cell r="A92">
            <v>71</v>
          </cell>
          <cell r="B92">
            <v>35.5</v>
          </cell>
          <cell r="C92">
            <v>17.75</v>
          </cell>
          <cell r="D92">
            <v>5.916666666666667</v>
          </cell>
          <cell r="E92">
            <v>6859798.601597432</v>
          </cell>
        </row>
        <row r="93">
          <cell r="A93">
            <v>72</v>
          </cell>
          <cell r="B93">
            <v>36</v>
          </cell>
          <cell r="C93">
            <v>18</v>
          </cell>
          <cell r="D93">
            <v>6</v>
          </cell>
          <cell r="E93">
            <v>6816858.1362312464</v>
          </cell>
        </row>
        <row r="94">
          <cell r="A94">
            <v>73</v>
          </cell>
          <cell r="B94">
            <v>36.5</v>
          </cell>
          <cell r="C94">
            <v>18.25</v>
          </cell>
          <cell r="D94">
            <v>6.083333333333333</v>
          </cell>
          <cell r="E94">
            <v>6773950.9612150583</v>
          </cell>
        </row>
        <row r="95">
          <cell r="A95">
            <v>74</v>
          </cell>
          <cell r="B95">
            <v>37</v>
          </cell>
          <cell r="C95">
            <v>18.5</v>
          </cell>
          <cell r="D95">
            <v>6.166666666666667</v>
          </cell>
          <cell r="E95">
            <v>6731076.976773628</v>
          </cell>
        </row>
        <row r="96">
          <cell r="A96">
            <v>75</v>
          </cell>
          <cell r="B96">
            <v>37.5</v>
          </cell>
          <cell r="C96">
            <v>18.75</v>
          </cell>
          <cell r="D96">
            <v>6.25</v>
          </cell>
          <cell r="E96">
            <v>6688236.0832431829</v>
          </cell>
        </row>
        <row r="97">
          <cell r="A97">
            <v>76</v>
          </cell>
          <cell r="B97">
            <v>38</v>
          </cell>
          <cell r="C97">
            <v>19</v>
          </cell>
          <cell r="D97">
            <v>6.333333333333333</v>
          </cell>
          <cell r="E97">
            <v>6645428.1810711669</v>
          </cell>
        </row>
        <row r="98">
          <cell r="A98">
            <v>77</v>
          </cell>
          <cell r="B98">
            <v>38.5</v>
          </cell>
          <cell r="C98">
            <v>19.25</v>
          </cell>
          <cell r="D98">
            <v>6.416666666666667</v>
          </cell>
          <cell r="E98">
            <v>6602653.170815995</v>
          </cell>
        </row>
        <row r="99">
          <cell r="A99">
            <v>78</v>
          </cell>
          <cell r="B99">
            <v>39</v>
          </cell>
          <cell r="C99">
            <v>19.5</v>
          </cell>
          <cell r="D99">
            <v>6.5</v>
          </cell>
          <cell r="E99">
            <v>6559910.9531468051</v>
          </cell>
        </row>
        <row r="100">
          <cell r="A100">
            <v>79</v>
          </cell>
          <cell r="B100">
            <v>39.5</v>
          </cell>
          <cell r="C100">
            <v>19.75</v>
          </cell>
          <cell r="D100">
            <v>6.583333333333333</v>
          </cell>
          <cell r="E100">
            <v>6517201.4288432123</v>
          </cell>
        </row>
        <row r="101">
          <cell r="A101">
            <v>80</v>
          </cell>
          <cell r="B101">
            <v>40</v>
          </cell>
          <cell r="C101">
            <v>20</v>
          </cell>
          <cell r="D101">
            <v>6.666666666666667</v>
          </cell>
          <cell r="E101">
            <v>6474524.4987950623</v>
          </cell>
        </row>
        <row r="102">
          <cell r="A102">
            <v>81</v>
          </cell>
          <cell r="B102">
            <v>40.5</v>
          </cell>
          <cell r="C102">
            <v>20.25</v>
          </cell>
          <cell r="D102">
            <v>6.75</v>
          </cell>
          <cell r="E102">
            <v>6431880.0640021861</v>
          </cell>
        </row>
        <row r="103">
          <cell r="A103">
            <v>82</v>
          </cell>
          <cell r="B103">
            <v>41</v>
          </cell>
          <cell r="C103">
            <v>20.5</v>
          </cell>
          <cell r="D103">
            <v>6.833333333333333</v>
          </cell>
          <cell r="E103">
            <v>6389268.0255741542</v>
          </cell>
        </row>
        <row r="104">
          <cell r="A104">
            <v>83</v>
          </cell>
          <cell r="B104">
            <v>41.5</v>
          </cell>
          <cell r="C104">
            <v>20.75</v>
          </cell>
          <cell r="D104">
            <v>6.916666666666667</v>
          </cell>
          <cell r="E104">
            <v>6346688.2847300302</v>
          </cell>
        </row>
        <row r="105">
          <cell r="A105">
            <v>84</v>
          </cell>
          <cell r="B105">
            <v>42</v>
          </cell>
          <cell r="C105">
            <v>21</v>
          </cell>
          <cell r="D105">
            <v>7</v>
          </cell>
          <cell r="E105">
            <v>6304140.7427981263</v>
          </cell>
        </row>
        <row r="106">
          <cell r="A106">
            <v>85</v>
          </cell>
          <cell r="B106">
            <v>42.5</v>
          </cell>
          <cell r="C106">
            <v>21.25</v>
          </cell>
          <cell r="D106">
            <v>7.083333333333333</v>
          </cell>
          <cell r="E106">
            <v>6261625.3012157604</v>
          </cell>
        </row>
        <row r="107">
          <cell r="A107">
            <v>86</v>
          </cell>
          <cell r="B107">
            <v>43</v>
          </cell>
          <cell r="C107">
            <v>21.5</v>
          </cell>
          <cell r="D107">
            <v>7.166666666666667</v>
          </cell>
          <cell r="E107">
            <v>6219141.8615290094</v>
          </cell>
        </row>
        <row r="108">
          <cell r="A108">
            <v>87</v>
          </cell>
          <cell r="B108">
            <v>43.5</v>
          </cell>
          <cell r="C108">
            <v>21.75</v>
          </cell>
          <cell r="D108">
            <v>7.25</v>
          </cell>
          <cell r="E108">
            <v>6176690.3253924679</v>
          </cell>
        </row>
        <row r="109">
          <cell r="A109">
            <v>88</v>
          </cell>
          <cell r="B109">
            <v>44</v>
          </cell>
          <cell r="C109">
            <v>22</v>
          </cell>
          <cell r="D109">
            <v>7.333333333333333</v>
          </cell>
          <cell r="E109">
            <v>6134270.5945690023</v>
          </cell>
        </row>
        <row r="110">
          <cell r="A110">
            <v>89</v>
          </cell>
          <cell r="B110">
            <v>44.5</v>
          </cell>
          <cell r="C110">
            <v>22.25</v>
          </cell>
          <cell r="D110">
            <v>7.416666666666667</v>
          </cell>
          <cell r="E110">
            <v>6091882.5709295087</v>
          </cell>
        </row>
        <row r="111">
          <cell r="A111">
            <v>90</v>
          </cell>
          <cell r="B111">
            <v>45</v>
          </cell>
          <cell r="C111">
            <v>22.5</v>
          </cell>
          <cell r="D111">
            <v>7.5</v>
          </cell>
          <cell r="E111">
            <v>6049526.1564526688</v>
          </cell>
        </row>
        <row r="112">
          <cell r="A112">
            <v>91</v>
          </cell>
          <cell r="B112">
            <v>45.5</v>
          </cell>
          <cell r="C112">
            <v>22.75</v>
          </cell>
          <cell r="D112">
            <v>7.583333333333333</v>
          </cell>
          <cell r="E112">
            <v>6007201.25322471</v>
          </cell>
        </row>
        <row r="113">
          <cell r="A113">
            <v>92</v>
          </cell>
          <cell r="B113">
            <v>46</v>
          </cell>
          <cell r="C113">
            <v>23</v>
          </cell>
          <cell r="D113">
            <v>7.666666666666667</v>
          </cell>
          <cell r="E113">
            <v>5964907.7634391589</v>
          </cell>
        </row>
        <row r="114">
          <cell r="A114">
            <v>93</v>
          </cell>
          <cell r="B114">
            <v>46.5</v>
          </cell>
          <cell r="C114">
            <v>23.25</v>
          </cell>
          <cell r="D114">
            <v>7.75</v>
          </cell>
          <cell r="E114">
            <v>5922645.5893966015</v>
          </cell>
        </row>
        <row r="115">
          <cell r="A115">
            <v>94</v>
          </cell>
          <cell r="B115">
            <v>47</v>
          </cell>
          <cell r="C115">
            <v>23.5</v>
          </cell>
          <cell r="D115">
            <v>7.833333333333333</v>
          </cell>
          <cell r="E115">
            <v>5880414.6335044438</v>
          </cell>
        </row>
        <row r="116">
          <cell r="A116">
            <v>95</v>
          </cell>
          <cell r="B116">
            <v>47.5</v>
          </cell>
          <cell r="C116">
            <v>23.75</v>
          </cell>
          <cell r="D116">
            <v>7.916666666666667</v>
          </cell>
          <cell r="E116">
            <v>5838214.7982766666</v>
          </cell>
        </row>
        <row r="117">
          <cell r="A117">
            <v>96</v>
          </cell>
          <cell r="B117">
            <v>48</v>
          </cell>
          <cell r="C117">
            <v>24</v>
          </cell>
          <cell r="D117">
            <v>8</v>
          </cell>
          <cell r="E117">
            <v>5796045.9863335872</v>
          </cell>
        </row>
        <row r="118">
          <cell r="A118">
            <v>97</v>
          </cell>
          <cell r="B118">
            <v>48.5</v>
          </cell>
          <cell r="C118">
            <v>24.25</v>
          </cell>
          <cell r="D118">
            <v>8.0833333333333339</v>
          </cell>
          <cell r="E118">
            <v>5753908.1004016167</v>
          </cell>
        </row>
        <row r="119">
          <cell r="A119">
            <v>98</v>
          </cell>
          <cell r="B119">
            <v>49</v>
          </cell>
          <cell r="C119">
            <v>24.5</v>
          </cell>
          <cell r="D119">
            <v>8.1666666666666661</v>
          </cell>
          <cell r="E119">
            <v>5711801.0433130208</v>
          </cell>
        </row>
        <row r="120">
          <cell r="A120">
            <v>99</v>
          </cell>
          <cell r="B120">
            <v>49.5</v>
          </cell>
          <cell r="C120">
            <v>24.75</v>
          </cell>
          <cell r="D120">
            <v>8.25</v>
          </cell>
          <cell r="E120">
            <v>5669724.7180056814</v>
          </cell>
        </row>
        <row r="121">
          <cell r="A121">
            <v>100</v>
          </cell>
          <cell r="B121">
            <v>50</v>
          </cell>
          <cell r="C121">
            <v>25</v>
          </cell>
          <cell r="D121">
            <v>8.3333333333333339</v>
          </cell>
          <cell r="E121">
            <v>5627679.0275228517</v>
          </cell>
        </row>
        <row r="122">
          <cell r="A122">
            <v>101</v>
          </cell>
          <cell r="B122">
            <v>50.5</v>
          </cell>
          <cell r="C122">
            <v>25.25</v>
          </cell>
          <cell r="D122">
            <v>8.4166666666666661</v>
          </cell>
          <cell r="E122">
            <v>5585663.8750129221</v>
          </cell>
        </row>
        <row r="123">
          <cell r="A123">
            <v>102</v>
          </cell>
          <cell r="B123">
            <v>51</v>
          </cell>
          <cell r="C123">
            <v>25.5</v>
          </cell>
          <cell r="D123">
            <v>8.5</v>
          </cell>
          <cell r="E123">
            <v>5543679.1637291778</v>
          </cell>
        </row>
        <row r="124">
          <cell r="A124">
            <v>103</v>
          </cell>
          <cell r="B124">
            <v>51.5</v>
          </cell>
          <cell r="C124">
            <v>25.75</v>
          </cell>
          <cell r="D124">
            <v>8.5833333333333339</v>
          </cell>
          <cell r="E124">
            <v>5501724.7970295632</v>
          </cell>
        </row>
        <row r="125">
          <cell r="A125">
            <v>104</v>
          </cell>
          <cell r="B125">
            <v>52</v>
          </cell>
          <cell r="C125">
            <v>26</v>
          </cell>
          <cell r="D125">
            <v>8.6666666666666661</v>
          </cell>
          <cell r="E125">
            <v>5459800.678376439</v>
          </cell>
        </row>
        <row r="126">
          <cell r="A126">
            <v>105</v>
          </cell>
          <cell r="B126">
            <v>52.5</v>
          </cell>
          <cell r="C126">
            <v>26.25</v>
          </cell>
          <cell r="D126">
            <v>8.75</v>
          </cell>
          <cell r="E126">
            <v>5417906.7113363491</v>
          </cell>
        </row>
        <row r="127">
          <cell r="A127">
            <v>106</v>
          </cell>
          <cell r="B127">
            <v>53</v>
          </cell>
          <cell r="C127">
            <v>26.5</v>
          </cell>
          <cell r="D127">
            <v>8.8333333333333339</v>
          </cell>
          <cell r="E127">
            <v>5376042.7995797778</v>
          </cell>
        </row>
        <row r="128">
          <cell r="A128">
            <v>107</v>
          </cell>
          <cell r="B128">
            <v>53.5</v>
          </cell>
          <cell r="C128">
            <v>26.75</v>
          </cell>
          <cell r="D128">
            <v>8.9166666666666661</v>
          </cell>
          <cell r="E128">
            <v>5334208.8468809165</v>
          </cell>
        </row>
        <row r="129">
          <cell r="A129">
            <v>108</v>
          </cell>
          <cell r="B129">
            <v>54</v>
          </cell>
          <cell r="C129">
            <v>27</v>
          </cell>
          <cell r="D129">
            <v>9</v>
          </cell>
          <cell r="E129">
            <v>5292404.7571174232</v>
          </cell>
        </row>
        <row r="130">
          <cell r="A130">
            <v>109</v>
          </cell>
          <cell r="B130">
            <v>54.5</v>
          </cell>
          <cell r="C130">
            <v>27.25</v>
          </cell>
          <cell r="D130">
            <v>9.0833333333333339</v>
          </cell>
          <cell r="E130">
            <v>5250630.4342701882</v>
          </cell>
        </row>
        <row r="131">
          <cell r="A131">
            <v>110</v>
          </cell>
          <cell r="B131">
            <v>55</v>
          </cell>
          <cell r="C131">
            <v>27.5</v>
          </cell>
          <cell r="D131">
            <v>9.1666666666666661</v>
          </cell>
          <cell r="E131">
            <v>5208885.7824230948</v>
          </cell>
        </row>
        <row r="132">
          <cell r="A132">
            <v>111</v>
          </cell>
          <cell r="B132">
            <v>55.5</v>
          </cell>
          <cell r="C132">
            <v>27.75</v>
          </cell>
          <cell r="D132">
            <v>9.25</v>
          </cell>
          <cell r="E132">
            <v>5167170.7057627868</v>
          </cell>
        </row>
        <row r="133">
          <cell r="A133">
            <v>112</v>
          </cell>
          <cell r="B133">
            <v>56</v>
          </cell>
          <cell r="C133">
            <v>28</v>
          </cell>
          <cell r="D133">
            <v>9.3333333333333339</v>
          </cell>
          <cell r="E133">
            <v>5125485.1085784277</v>
          </cell>
        </row>
        <row r="134">
          <cell r="A134">
            <v>113</v>
          </cell>
          <cell r="B134">
            <v>56.5</v>
          </cell>
          <cell r="C134">
            <v>28.25</v>
          </cell>
          <cell r="D134">
            <v>9.4166666666666661</v>
          </cell>
          <cell r="E134">
            <v>5083828.8952614702</v>
          </cell>
        </row>
        <row r="135">
          <cell r="A135">
            <v>114</v>
          </cell>
          <cell r="B135">
            <v>57</v>
          </cell>
          <cell r="C135">
            <v>28.5</v>
          </cell>
          <cell r="D135">
            <v>9.5</v>
          </cell>
          <cell r="E135">
            <v>5042201.9703054167</v>
          </cell>
        </row>
        <row r="136">
          <cell r="A136">
            <v>115</v>
          </cell>
          <cell r="B136">
            <v>57.5</v>
          </cell>
          <cell r="C136">
            <v>28.75</v>
          </cell>
          <cell r="D136">
            <v>9.5833333333333339</v>
          </cell>
          <cell r="E136">
            <v>5000604.2383055864</v>
          </cell>
        </row>
        <row r="137">
          <cell r="A137">
            <v>116</v>
          </cell>
          <cell r="B137">
            <v>58</v>
          </cell>
          <cell r="C137">
            <v>29</v>
          </cell>
          <cell r="D137">
            <v>9.6666666666666661</v>
          </cell>
          <cell r="E137">
            <v>4959035.6039588796</v>
          </cell>
        </row>
        <row r="138">
          <cell r="A138">
            <v>117</v>
          </cell>
          <cell r="B138">
            <v>58.5</v>
          </cell>
          <cell r="C138">
            <v>29.25</v>
          </cell>
          <cell r="D138">
            <v>9.75</v>
          </cell>
          <cell r="E138">
            <v>4917495.9720635442</v>
          </cell>
        </row>
        <row r="139">
          <cell r="A139">
            <v>118</v>
          </cell>
          <cell r="B139">
            <v>59</v>
          </cell>
          <cell r="C139">
            <v>29.5</v>
          </cell>
          <cell r="D139">
            <v>9.8333333333333339</v>
          </cell>
          <cell r="E139">
            <v>4875985.2475189399</v>
          </cell>
        </row>
        <row r="140">
          <cell r="A140">
            <v>119</v>
          </cell>
          <cell r="B140">
            <v>59.5</v>
          </cell>
          <cell r="C140">
            <v>29.75</v>
          </cell>
          <cell r="D140">
            <v>9.9166666666666661</v>
          </cell>
          <cell r="E140">
            <v>4834503.3353253081</v>
          </cell>
        </row>
        <row r="141">
          <cell r="A141">
            <v>120</v>
          </cell>
          <cell r="B141">
            <v>60</v>
          </cell>
          <cell r="C141">
            <v>30</v>
          </cell>
          <cell r="D141">
            <v>10</v>
          </cell>
          <cell r="E141">
            <v>4793050.1405835338</v>
          </cell>
        </row>
        <row r="142">
          <cell r="A142">
            <v>121</v>
          </cell>
          <cell r="B142">
            <v>60.5</v>
          </cell>
          <cell r="C142">
            <v>30.25</v>
          </cell>
          <cell r="D142">
            <v>10.083333333333334</v>
          </cell>
          <cell r="E142">
            <v>4751625.568494916</v>
          </cell>
        </row>
        <row r="143">
          <cell r="A143">
            <v>122</v>
          </cell>
          <cell r="B143">
            <v>61</v>
          </cell>
          <cell r="C143">
            <v>30.5</v>
          </cell>
          <cell r="D143">
            <v>10.166666666666666</v>
          </cell>
          <cell r="E143">
            <v>4710229.5243609315</v>
          </cell>
        </row>
        <row r="144">
          <cell r="A144">
            <v>123</v>
          </cell>
          <cell r="B144">
            <v>61.5</v>
          </cell>
          <cell r="C144">
            <v>30.75</v>
          </cell>
          <cell r="D144">
            <v>10.25</v>
          </cell>
          <cell r="E144">
            <v>4668861.9135830058</v>
          </cell>
        </row>
        <row r="145">
          <cell r="A145">
            <v>124</v>
          </cell>
          <cell r="B145">
            <v>62</v>
          </cell>
          <cell r="C145">
            <v>31</v>
          </cell>
          <cell r="D145">
            <v>10.333333333333334</v>
          </cell>
          <cell r="E145">
            <v>4627522.6416622791</v>
          </cell>
        </row>
        <row r="146">
          <cell r="A146">
            <v>125</v>
          </cell>
          <cell r="B146">
            <v>62.5</v>
          </cell>
          <cell r="C146">
            <v>31.25</v>
          </cell>
          <cell r="D146">
            <v>10.416666666666666</v>
          </cell>
          <cell r="E146">
            <v>4586211.6141993729</v>
          </cell>
        </row>
        <row r="147">
          <cell r="A147">
            <v>126</v>
          </cell>
          <cell r="B147">
            <v>63</v>
          </cell>
          <cell r="C147">
            <v>31.5</v>
          </cell>
          <cell r="D147">
            <v>10.5</v>
          </cell>
          <cell r="E147">
            <v>4544928.7368941624</v>
          </cell>
        </row>
        <row r="148">
          <cell r="A148">
            <v>127</v>
          </cell>
          <cell r="B148">
            <v>63.5</v>
          </cell>
          <cell r="C148">
            <v>31.75</v>
          </cell>
          <cell r="D148">
            <v>10.583333333333334</v>
          </cell>
          <cell r="E148">
            <v>4503673.915545539</v>
          </cell>
        </row>
        <row r="149">
          <cell r="A149">
            <v>128</v>
          </cell>
          <cell r="B149">
            <v>64</v>
          </cell>
          <cell r="C149">
            <v>32</v>
          </cell>
          <cell r="D149">
            <v>10.666666666666666</v>
          </cell>
          <cell r="E149">
            <v>4462447.0560511872</v>
          </cell>
        </row>
        <row r="150">
          <cell r="A150">
            <v>129</v>
          </cell>
          <cell r="B150">
            <v>64.5</v>
          </cell>
          <cell r="C150">
            <v>32.25</v>
          </cell>
          <cell r="D150">
            <v>10.75</v>
          </cell>
          <cell r="E150">
            <v>4421248.0644073458</v>
          </cell>
        </row>
        <row r="151">
          <cell r="A151">
            <v>130</v>
          </cell>
          <cell r="B151">
            <v>65</v>
          </cell>
          <cell r="C151">
            <v>32.5</v>
          </cell>
          <cell r="D151">
            <v>10.833333333333334</v>
          </cell>
          <cell r="E151">
            <v>4380076.8467085827</v>
          </cell>
        </row>
        <row r="152">
          <cell r="A152">
            <v>131</v>
          </cell>
          <cell r="B152">
            <v>65.5</v>
          </cell>
          <cell r="C152">
            <v>32.75</v>
          </cell>
          <cell r="D152">
            <v>10.916666666666666</v>
          </cell>
          <cell r="E152">
            <v>4338933.3091475628</v>
          </cell>
        </row>
        <row r="153">
          <cell r="A153">
            <v>132</v>
          </cell>
          <cell r="B153">
            <v>66</v>
          </cell>
          <cell r="C153">
            <v>33</v>
          </cell>
          <cell r="D153">
            <v>11</v>
          </cell>
          <cell r="E153">
            <v>4297817.3580148192</v>
          </cell>
        </row>
        <row r="154">
          <cell r="A154">
            <v>133</v>
          </cell>
          <cell r="B154">
            <v>66.5</v>
          </cell>
          <cell r="C154">
            <v>33.25</v>
          </cell>
          <cell r="D154">
            <v>11.083333333333334</v>
          </cell>
          <cell r="E154">
            <v>4256728.8996985229</v>
          </cell>
        </row>
        <row r="155">
          <cell r="A155">
            <v>134</v>
          </cell>
          <cell r="B155">
            <v>67</v>
          </cell>
          <cell r="C155">
            <v>33.5</v>
          </cell>
          <cell r="D155">
            <v>11.166666666666666</v>
          </cell>
          <cell r="E155">
            <v>4215667.8406842519</v>
          </cell>
        </row>
        <row r="156">
          <cell r="A156">
            <v>135</v>
          </cell>
          <cell r="B156">
            <v>67.5</v>
          </cell>
          <cell r="C156">
            <v>33.75</v>
          </cell>
          <cell r="D156">
            <v>11.25</v>
          </cell>
          <cell r="E156">
            <v>4174634.0875547654</v>
          </cell>
        </row>
        <row r="157">
          <cell r="A157">
            <v>136</v>
          </cell>
          <cell r="B157">
            <v>68</v>
          </cell>
          <cell r="C157">
            <v>34</v>
          </cell>
          <cell r="D157">
            <v>11.333333333333334</v>
          </cell>
          <cell r="E157">
            <v>4133627.5469897734</v>
          </cell>
        </row>
        <row r="158">
          <cell r="A158">
            <v>137</v>
          </cell>
          <cell r="B158">
            <v>68.5</v>
          </cell>
          <cell r="C158">
            <v>34.25</v>
          </cell>
          <cell r="D158">
            <v>11.416666666666666</v>
          </cell>
          <cell r="E158">
            <v>4092648.1257657078</v>
          </cell>
        </row>
        <row r="159">
          <cell r="A159">
            <v>138</v>
          </cell>
          <cell r="B159">
            <v>69</v>
          </cell>
          <cell r="C159">
            <v>34.5</v>
          </cell>
          <cell r="D159">
            <v>11.5</v>
          </cell>
          <cell r="E159">
            <v>4051695.7307554958</v>
          </cell>
        </row>
        <row r="160">
          <cell r="A160">
            <v>139</v>
          </cell>
          <cell r="B160">
            <v>69.5</v>
          </cell>
          <cell r="C160">
            <v>34.75</v>
          </cell>
          <cell r="D160">
            <v>11.583333333333334</v>
          </cell>
          <cell r="E160">
            <v>4010770.2689283313</v>
          </cell>
        </row>
        <row r="161">
          <cell r="A161">
            <v>140</v>
          </cell>
          <cell r="B161">
            <v>70</v>
          </cell>
          <cell r="C161">
            <v>35</v>
          </cell>
          <cell r="D161">
            <v>11.666666666666666</v>
          </cell>
          <cell r="E161">
            <v>3969871.6473494475</v>
          </cell>
        </row>
        <row r="162">
          <cell r="A162">
            <v>141</v>
          </cell>
          <cell r="B162">
            <v>70.5</v>
          </cell>
          <cell r="C162">
            <v>35.25</v>
          </cell>
          <cell r="D162">
            <v>11.75</v>
          </cell>
          <cell r="E162">
            <v>3928999.7731798897</v>
          </cell>
        </row>
        <row r="163">
          <cell r="A163">
            <v>142</v>
          </cell>
          <cell r="B163">
            <v>71</v>
          </cell>
          <cell r="C163">
            <v>35.5</v>
          </cell>
          <cell r="D163">
            <v>11.833333333333334</v>
          </cell>
          <cell r="E163">
            <v>3888154.5536762881</v>
          </cell>
        </row>
        <row r="164">
          <cell r="A164">
            <v>143</v>
          </cell>
          <cell r="B164">
            <v>71.5</v>
          </cell>
          <cell r="C164">
            <v>35.75</v>
          </cell>
          <cell r="D164">
            <v>11.916666666666666</v>
          </cell>
          <cell r="E164">
            <v>3847335.8961906317</v>
          </cell>
        </row>
        <row r="165">
          <cell r="A165">
            <v>144</v>
          </cell>
          <cell r="B165">
            <v>72</v>
          </cell>
          <cell r="C165">
            <v>36</v>
          </cell>
          <cell r="D165">
            <v>12</v>
          </cell>
          <cell r="E165">
            <v>3806543.7081700419</v>
          </cell>
        </row>
        <row r="166">
          <cell r="A166">
            <v>145</v>
          </cell>
          <cell r="B166">
            <v>72.5</v>
          </cell>
          <cell r="C166">
            <v>36.25</v>
          </cell>
          <cell r="D166">
            <v>12.083333333333334</v>
          </cell>
          <cell r="E166">
            <v>3765777.8971565459</v>
          </cell>
        </row>
        <row r="167">
          <cell r="A167">
            <v>146</v>
          </cell>
          <cell r="B167">
            <v>73</v>
          </cell>
          <cell r="C167">
            <v>36.5</v>
          </cell>
          <cell r="D167">
            <v>12.166666666666666</v>
          </cell>
          <cell r="E167">
            <v>3725038.3707868517</v>
          </cell>
        </row>
        <row r="168">
          <cell r="A168">
            <v>147</v>
          </cell>
          <cell r="B168">
            <v>73.5</v>
          </cell>
          <cell r="C168">
            <v>36.75</v>
          </cell>
          <cell r="D168">
            <v>12.25</v>
          </cell>
          <cell r="E168">
            <v>3684325.0367921228</v>
          </cell>
        </row>
        <row r="169">
          <cell r="A169">
            <v>148</v>
          </cell>
          <cell r="B169">
            <v>74</v>
          </cell>
          <cell r="C169">
            <v>37</v>
          </cell>
          <cell r="D169">
            <v>12.333333333333334</v>
          </cell>
          <cell r="E169">
            <v>3643637.8029977526</v>
          </cell>
        </row>
        <row r="170">
          <cell r="A170">
            <v>149</v>
          </cell>
          <cell r="B170">
            <v>74.5</v>
          </cell>
          <cell r="C170">
            <v>37.25</v>
          </cell>
          <cell r="D170">
            <v>12.416666666666666</v>
          </cell>
          <cell r="E170">
            <v>3602976.5773231387</v>
          </cell>
        </row>
        <row r="171">
          <cell r="A171">
            <v>150</v>
          </cell>
          <cell r="B171">
            <v>75</v>
          </cell>
          <cell r="C171">
            <v>37.5</v>
          </cell>
          <cell r="D171">
            <v>12.5</v>
          </cell>
          <cell r="E171">
            <v>3562341.2677814597</v>
          </cell>
        </row>
        <row r="172">
          <cell r="A172">
            <v>151</v>
          </cell>
          <cell r="B172">
            <v>75.5</v>
          </cell>
          <cell r="C172">
            <v>37.75</v>
          </cell>
          <cell r="D172">
            <v>12.583333333333334</v>
          </cell>
          <cell r="E172">
            <v>3521731.7824794506</v>
          </cell>
        </row>
        <row r="173">
          <cell r="A173">
            <v>152</v>
          </cell>
          <cell r="B173">
            <v>76</v>
          </cell>
          <cell r="C173">
            <v>38</v>
          </cell>
          <cell r="D173">
            <v>12.666666666666666</v>
          </cell>
          <cell r="E173">
            <v>3481148.0296171787</v>
          </cell>
        </row>
        <row r="174">
          <cell r="A174">
            <v>153</v>
          </cell>
          <cell r="B174">
            <v>76.5</v>
          </cell>
          <cell r="C174">
            <v>38.25</v>
          </cell>
          <cell r="D174">
            <v>12.75</v>
          </cell>
          <cell r="E174">
            <v>3440589.9174878192</v>
          </cell>
        </row>
        <row r="175">
          <cell r="A175">
            <v>154</v>
          </cell>
          <cell r="B175">
            <v>77</v>
          </cell>
          <cell r="C175">
            <v>38.5</v>
          </cell>
          <cell r="D175">
            <v>12.833333333333334</v>
          </cell>
          <cell r="E175">
            <v>3400057.354477433</v>
          </cell>
        </row>
        <row r="176">
          <cell r="A176">
            <v>155</v>
          </cell>
          <cell r="B176">
            <v>77.5</v>
          </cell>
          <cell r="C176">
            <v>38.75</v>
          </cell>
          <cell r="D176">
            <v>12.916666666666666</v>
          </cell>
          <cell r="E176">
            <v>3359550.2490647431</v>
          </cell>
        </row>
        <row r="177">
          <cell r="A177">
            <v>156</v>
          </cell>
          <cell r="B177">
            <v>78</v>
          </cell>
          <cell r="C177">
            <v>39</v>
          </cell>
          <cell r="D177">
            <v>13</v>
          </cell>
          <cell r="E177">
            <v>3319068.5098209106</v>
          </cell>
        </row>
        <row r="178">
          <cell r="A178">
            <v>157</v>
          </cell>
          <cell r="B178">
            <v>78.5</v>
          </cell>
          <cell r="C178">
            <v>39.25</v>
          </cell>
          <cell r="D178">
            <v>13.083333333333334</v>
          </cell>
          <cell r="E178">
            <v>3278612.0454093143</v>
          </cell>
        </row>
        <row r="179">
          <cell r="A179">
            <v>158</v>
          </cell>
          <cell r="B179">
            <v>79</v>
          </cell>
          <cell r="C179">
            <v>39.5</v>
          </cell>
          <cell r="D179">
            <v>13.166666666666666</v>
          </cell>
          <cell r="E179">
            <v>3238180.7645853264</v>
          </cell>
        </row>
        <row r="180">
          <cell r="A180">
            <v>159</v>
          </cell>
          <cell r="B180">
            <v>79.5</v>
          </cell>
          <cell r="C180">
            <v>39.75</v>
          </cell>
          <cell r="D180">
            <v>13.25</v>
          </cell>
          <cell r="E180">
            <v>3197774.5761960922</v>
          </cell>
        </row>
        <row r="181">
          <cell r="A181">
            <v>160</v>
          </cell>
          <cell r="B181">
            <v>80</v>
          </cell>
          <cell r="C181">
            <v>40</v>
          </cell>
          <cell r="D181">
            <v>13.333333333333334</v>
          </cell>
          <cell r="E181">
            <v>3157393.3891803068</v>
          </cell>
        </row>
        <row r="182">
          <cell r="A182">
            <v>161</v>
          </cell>
          <cell r="B182">
            <v>80.5</v>
          </cell>
          <cell r="C182">
            <v>40.25</v>
          </cell>
          <cell r="D182">
            <v>13.416666666666666</v>
          </cell>
          <cell r="E182">
            <v>3117037.1125679952</v>
          </cell>
        </row>
        <row r="183">
          <cell r="A183">
            <v>162</v>
          </cell>
          <cell r="B183">
            <v>81</v>
          </cell>
          <cell r="C183">
            <v>40.5</v>
          </cell>
          <cell r="D183">
            <v>13.5</v>
          </cell>
          <cell r="E183">
            <v>3076705.6554802894</v>
          </cell>
        </row>
        <row r="184">
          <cell r="A184">
            <v>163</v>
          </cell>
          <cell r="B184">
            <v>81.5</v>
          </cell>
          <cell r="C184">
            <v>40.75</v>
          </cell>
          <cell r="D184">
            <v>13.583333333333334</v>
          </cell>
          <cell r="E184">
            <v>3036398.9271292086</v>
          </cell>
        </row>
        <row r="185">
          <cell r="A185">
            <v>164</v>
          </cell>
          <cell r="B185">
            <v>82</v>
          </cell>
          <cell r="C185">
            <v>41</v>
          </cell>
          <cell r="D185">
            <v>13.666666666666666</v>
          </cell>
          <cell r="E185">
            <v>2996116.8368174392</v>
          </cell>
        </row>
        <row r="186">
          <cell r="A186">
            <v>165</v>
          </cell>
          <cell r="B186">
            <v>82.5</v>
          </cell>
          <cell r="C186">
            <v>41.25</v>
          </cell>
          <cell r="D186">
            <v>13.75</v>
          </cell>
          <cell r="E186">
            <v>2955859.2939381138</v>
          </cell>
        </row>
        <row r="187">
          <cell r="A187">
            <v>166</v>
          </cell>
          <cell r="B187">
            <v>83</v>
          </cell>
          <cell r="C187">
            <v>41.5</v>
          </cell>
          <cell r="D187">
            <v>13.833333333333334</v>
          </cell>
          <cell r="E187">
            <v>2915626.2079745908</v>
          </cell>
        </row>
        <row r="188">
          <cell r="A188">
            <v>167</v>
          </cell>
          <cell r="B188">
            <v>83.5</v>
          </cell>
          <cell r="C188">
            <v>41.75</v>
          </cell>
          <cell r="D188">
            <v>13.916666666666666</v>
          </cell>
          <cell r="E188">
            <v>2875417.4885002351</v>
          </cell>
        </row>
        <row r="189">
          <cell r="A189">
            <v>168</v>
          </cell>
          <cell r="B189">
            <v>84</v>
          </cell>
          <cell r="C189">
            <v>42</v>
          </cell>
          <cell r="D189">
            <v>14</v>
          </cell>
          <cell r="E189">
            <v>2835233.0451781983</v>
          </cell>
        </row>
        <row r="190">
          <cell r="A190">
            <v>169</v>
          </cell>
          <cell r="B190">
            <v>84.5</v>
          </cell>
          <cell r="C190">
            <v>42.25</v>
          </cell>
          <cell r="D190">
            <v>14.083333333333334</v>
          </cell>
          <cell r="E190">
            <v>2795072.7877612002</v>
          </cell>
        </row>
        <row r="191">
          <cell r="A191">
            <v>170</v>
          </cell>
          <cell r="B191">
            <v>85</v>
          </cell>
          <cell r="C191">
            <v>42.5</v>
          </cell>
          <cell r="D191">
            <v>14.166666666666666</v>
          </cell>
          <cell r="E191">
            <v>2754936.6260913098</v>
          </cell>
        </row>
        <row r="192">
          <cell r="A192">
            <v>171</v>
          </cell>
          <cell r="B192">
            <v>85.5</v>
          </cell>
          <cell r="C192">
            <v>42.75</v>
          </cell>
          <cell r="D192">
            <v>14.25</v>
          </cell>
          <cell r="E192">
            <v>2714824.4700997253</v>
          </cell>
        </row>
        <row r="193">
          <cell r="A193">
            <v>172</v>
          </cell>
          <cell r="B193">
            <v>86</v>
          </cell>
          <cell r="C193">
            <v>43</v>
          </cell>
          <cell r="D193">
            <v>14.333333333333334</v>
          </cell>
          <cell r="E193">
            <v>2674736.2298065573</v>
          </cell>
        </row>
        <row r="194">
          <cell r="A194">
            <v>173</v>
          </cell>
          <cell r="B194">
            <v>86.5</v>
          </cell>
          <cell r="C194">
            <v>43.25</v>
          </cell>
          <cell r="D194">
            <v>14.416666666666666</v>
          </cell>
          <cell r="E194">
            <v>2634671.815320611</v>
          </cell>
        </row>
        <row r="195">
          <cell r="A195">
            <v>174</v>
          </cell>
          <cell r="B195">
            <v>87</v>
          </cell>
          <cell r="C195">
            <v>43.5</v>
          </cell>
          <cell r="D195">
            <v>14.5</v>
          </cell>
          <cell r="E195">
            <v>2594631.1368391658</v>
          </cell>
        </row>
        <row r="196">
          <cell r="A196">
            <v>175</v>
          </cell>
          <cell r="B196">
            <v>87.5</v>
          </cell>
          <cell r="C196">
            <v>43.75</v>
          </cell>
          <cell r="D196">
            <v>14.583333333333334</v>
          </cell>
          <cell r="E196">
            <v>2554614.1046477612</v>
          </cell>
        </row>
        <row r="197">
          <cell r="A197">
            <v>176</v>
          </cell>
          <cell r="B197">
            <v>88</v>
          </cell>
          <cell r="C197">
            <v>44</v>
          </cell>
          <cell r="D197">
            <v>14.666666666666666</v>
          </cell>
          <cell r="E197">
            <v>2514620.6291199769</v>
          </cell>
        </row>
        <row r="198">
          <cell r="A198">
            <v>177</v>
          </cell>
          <cell r="B198">
            <v>88.5</v>
          </cell>
          <cell r="C198">
            <v>44.25</v>
          </cell>
          <cell r="D198">
            <v>14.75</v>
          </cell>
          <cell r="E198">
            <v>2474650.6207172172</v>
          </cell>
        </row>
        <row r="199">
          <cell r="A199">
            <v>178</v>
          </cell>
          <cell r="B199">
            <v>89</v>
          </cell>
          <cell r="C199">
            <v>44.5</v>
          </cell>
          <cell r="D199">
            <v>14.833333333333334</v>
          </cell>
          <cell r="E199">
            <v>2434703.9899884942</v>
          </cell>
        </row>
        <row r="200">
          <cell r="A200">
            <v>179</v>
          </cell>
          <cell r="B200">
            <v>89.5</v>
          </cell>
          <cell r="C200">
            <v>44.75</v>
          </cell>
          <cell r="D200">
            <v>14.916666666666666</v>
          </cell>
          <cell r="E200">
            <v>2394780.6475702105</v>
          </cell>
        </row>
        <row r="201">
          <cell r="A201">
            <v>180</v>
          </cell>
          <cell r="B201">
            <v>90</v>
          </cell>
          <cell r="C201">
            <v>45</v>
          </cell>
          <cell r="D201">
            <v>15</v>
          </cell>
          <cell r="E201">
            <v>2354880.5041859439</v>
          </cell>
        </row>
        <row r="202">
          <cell r="A202">
            <v>181</v>
          </cell>
          <cell r="B202">
            <v>90.5</v>
          </cell>
          <cell r="C202">
            <v>45.25</v>
          </cell>
          <cell r="D202">
            <v>15.083333333333334</v>
          </cell>
          <cell r="E202">
            <v>2315003.470646231</v>
          </cell>
        </row>
        <row r="203">
          <cell r="A203">
            <v>182</v>
          </cell>
          <cell r="B203">
            <v>91</v>
          </cell>
          <cell r="C203">
            <v>45.5</v>
          </cell>
          <cell r="D203">
            <v>15.166666666666666</v>
          </cell>
          <cell r="E203">
            <v>2275149.4578483524</v>
          </cell>
        </row>
        <row r="204">
          <cell r="A204">
            <v>183</v>
          </cell>
          <cell r="B204">
            <v>91.5</v>
          </cell>
          <cell r="C204">
            <v>45.75</v>
          </cell>
          <cell r="D204">
            <v>15.25</v>
          </cell>
          <cell r="E204">
            <v>2235318.376776115</v>
          </cell>
        </row>
        <row r="205">
          <cell r="A205">
            <v>184</v>
          </cell>
          <cell r="B205">
            <v>92</v>
          </cell>
          <cell r="C205">
            <v>46</v>
          </cell>
          <cell r="D205">
            <v>15.333333333333334</v>
          </cell>
          <cell r="E205">
            <v>2195510.1384996409</v>
          </cell>
        </row>
        <row r="206">
          <cell r="A206">
            <v>185</v>
          </cell>
          <cell r="B206">
            <v>92.5</v>
          </cell>
          <cell r="C206">
            <v>46.25</v>
          </cell>
          <cell r="D206">
            <v>15.416666666666666</v>
          </cell>
          <cell r="E206">
            <v>2155724.6541751488</v>
          </cell>
        </row>
        <row r="207">
          <cell r="A207">
            <v>186</v>
          </cell>
          <cell r="B207">
            <v>93</v>
          </cell>
          <cell r="C207">
            <v>46.5</v>
          </cell>
          <cell r="D207">
            <v>15.5</v>
          </cell>
          <cell r="E207">
            <v>2115961.8350447412</v>
          </cell>
        </row>
        <row r="208">
          <cell r="A208">
            <v>187</v>
          </cell>
          <cell r="B208">
            <v>93.5</v>
          </cell>
          <cell r="C208">
            <v>46.75</v>
          </cell>
          <cell r="D208">
            <v>15.583333333333334</v>
          </cell>
          <cell r="E208">
            <v>2076221.5924361905</v>
          </cell>
        </row>
        <row r="209">
          <cell r="A209">
            <v>188</v>
          </cell>
          <cell r="B209">
            <v>94</v>
          </cell>
          <cell r="C209">
            <v>47</v>
          </cell>
          <cell r="D209">
            <v>15.666666666666666</v>
          </cell>
          <cell r="E209">
            <v>2036503.8377627237</v>
          </cell>
        </row>
        <row r="210">
          <cell r="A210">
            <v>189</v>
          </cell>
          <cell r="B210">
            <v>94.5</v>
          </cell>
          <cell r="C210">
            <v>47.25</v>
          </cell>
          <cell r="D210">
            <v>15.75</v>
          </cell>
          <cell r="E210">
            <v>1996808.4825228094</v>
          </cell>
        </row>
        <row r="211">
          <cell r="A211">
            <v>190</v>
          </cell>
          <cell r="B211">
            <v>95</v>
          </cell>
          <cell r="C211">
            <v>47.5</v>
          </cell>
          <cell r="D211">
            <v>15.833333333333334</v>
          </cell>
          <cell r="E211">
            <v>1957135.4382999449</v>
          </cell>
        </row>
        <row r="212">
          <cell r="A212">
            <v>191</v>
          </cell>
          <cell r="B212">
            <v>95.5</v>
          </cell>
          <cell r="C212">
            <v>47.75</v>
          </cell>
          <cell r="D212">
            <v>15.916666666666666</v>
          </cell>
          <cell r="E212">
            <v>1917484.6167624416</v>
          </cell>
        </row>
        <row r="213">
          <cell r="A213">
            <v>192</v>
          </cell>
          <cell r="B213">
            <v>96</v>
          </cell>
          <cell r="C213">
            <v>48</v>
          </cell>
          <cell r="D213">
            <v>16</v>
          </cell>
          <cell r="E213">
            <v>1877855.9296632132</v>
          </cell>
        </row>
        <row r="214">
          <cell r="A214">
            <v>193</v>
          </cell>
          <cell r="B214">
            <v>96.5</v>
          </cell>
          <cell r="C214">
            <v>48.25</v>
          </cell>
          <cell r="D214">
            <v>16.083333333333332</v>
          </cell>
          <cell r="E214">
            <v>1838249.2888395628</v>
          </cell>
        </row>
        <row r="215">
          <cell r="A215">
            <v>194</v>
          </cell>
          <cell r="B215">
            <v>97</v>
          </cell>
          <cell r="C215">
            <v>48.5</v>
          </cell>
          <cell r="D215">
            <v>16.166666666666668</v>
          </cell>
          <cell r="E215">
            <v>1798664.6062129699</v>
          </cell>
        </row>
        <row r="216">
          <cell r="A216">
            <v>195</v>
          </cell>
          <cell r="B216">
            <v>97.5</v>
          </cell>
          <cell r="C216">
            <v>48.75</v>
          </cell>
          <cell r="D216">
            <v>16.25</v>
          </cell>
          <cell r="E216">
            <v>1759101.7937888787</v>
          </cell>
        </row>
        <row r="217">
          <cell r="A217">
            <v>196</v>
          </cell>
          <cell r="B217">
            <v>98</v>
          </cell>
          <cell r="C217">
            <v>49</v>
          </cell>
          <cell r="D217">
            <v>16.333333333333332</v>
          </cell>
          <cell r="E217">
            <v>1719560.7636564865</v>
          </cell>
        </row>
        <row r="218">
          <cell r="A218">
            <v>197</v>
          </cell>
          <cell r="B218">
            <v>98.5</v>
          </cell>
          <cell r="C218">
            <v>49.25</v>
          </cell>
          <cell r="D218">
            <v>16.416666666666668</v>
          </cell>
          <cell r="E218">
            <v>1680041.4279885313</v>
          </cell>
        </row>
        <row r="219">
          <cell r="A219">
            <v>198</v>
          </cell>
          <cell r="B219">
            <v>99</v>
          </cell>
          <cell r="C219">
            <v>49.5</v>
          </cell>
          <cell r="D219">
            <v>16.5</v>
          </cell>
          <cell r="E219">
            <v>1640543.6990410814</v>
          </cell>
        </row>
        <row r="220">
          <cell r="A220">
            <v>199</v>
          </cell>
          <cell r="B220">
            <v>99.5</v>
          </cell>
          <cell r="C220">
            <v>49.75</v>
          </cell>
          <cell r="D220">
            <v>16.583333333333332</v>
          </cell>
          <cell r="E220">
            <v>1601067.4891533235</v>
          </cell>
        </row>
        <row r="221">
          <cell r="A221">
            <v>200</v>
          </cell>
          <cell r="B221">
            <v>100</v>
          </cell>
          <cell r="C221">
            <v>50</v>
          </cell>
          <cell r="D221">
            <v>16.666666666666668</v>
          </cell>
          <cell r="E221">
            <v>1561612.7107473519</v>
          </cell>
        </row>
        <row r="222">
          <cell r="A222">
            <v>201</v>
          </cell>
          <cell r="B222">
            <v>100.5</v>
          </cell>
          <cell r="C222">
            <v>50.25</v>
          </cell>
          <cell r="D222">
            <v>16.75</v>
          </cell>
          <cell r="E222">
            <v>1522179.2763279586</v>
          </cell>
        </row>
        <row r="223">
          <cell r="A223">
            <v>202</v>
          </cell>
          <cell r="B223">
            <v>101</v>
          </cell>
          <cell r="C223">
            <v>50.5</v>
          </cell>
          <cell r="D223">
            <v>16.833333333333332</v>
          </cell>
          <cell r="E223">
            <v>1482767.0984824223</v>
          </cell>
        </row>
        <row r="224">
          <cell r="A224">
            <v>203</v>
          </cell>
          <cell r="B224">
            <v>101.5</v>
          </cell>
          <cell r="C224">
            <v>50.75</v>
          </cell>
          <cell r="D224">
            <v>16.916666666666668</v>
          </cell>
          <cell r="E224">
            <v>1443376.0898802986</v>
          </cell>
        </row>
        <row r="225">
          <cell r="A225">
            <v>204</v>
          </cell>
          <cell r="B225">
            <v>102</v>
          </cell>
          <cell r="C225">
            <v>51</v>
          </cell>
          <cell r="D225">
            <v>17</v>
          </cell>
          <cell r="E225">
            <v>1404006.1632732102</v>
          </cell>
        </row>
        <row r="226">
          <cell r="A226">
            <v>205</v>
          </cell>
          <cell r="B226">
            <v>102.5</v>
          </cell>
          <cell r="C226">
            <v>51.25</v>
          </cell>
          <cell r="D226">
            <v>17.083333333333332</v>
          </cell>
          <cell r="E226">
            <v>1364657.2314946374</v>
          </cell>
        </row>
        <row r="227">
          <cell r="A227">
            <v>206</v>
          </cell>
          <cell r="B227">
            <v>103</v>
          </cell>
          <cell r="C227">
            <v>51.5</v>
          </cell>
          <cell r="D227">
            <v>17.166666666666668</v>
          </cell>
          <cell r="E227">
            <v>1325329.2074597087</v>
          </cell>
        </row>
        <row r="228">
          <cell r="A228">
            <v>207</v>
          </cell>
          <cell r="B228">
            <v>103.5</v>
          </cell>
          <cell r="C228">
            <v>51.75</v>
          </cell>
          <cell r="D228">
            <v>17.25</v>
          </cell>
          <cell r="E228">
            <v>1286022.0041649919</v>
          </cell>
        </row>
        <row r="229">
          <cell r="A229">
            <v>208</v>
          </cell>
          <cell r="B229">
            <v>104</v>
          </cell>
          <cell r="C229">
            <v>52</v>
          </cell>
          <cell r="D229">
            <v>17.333333333333332</v>
          </cell>
          <cell r="E229">
            <v>1246735.5346882851</v>
          </cell>
        </row>
        <row r="230">
          <cell r="A230">
            <v>209</v>
          </cell>
          <cell r="B230">
            <v>104.5</v>
          </cell>
          <cell r="C230">
            <v>52.25</v>
          </cell>
          <cell r="D230">
            <v>17.416666666666668</v>
          </cell>
          <cell r="E230">
            <v>1207469.7121884085</v>
          </cell>
        </row>
        <row r="231">
          <cell r="A231">
            <v>210</v>
          </cell>
          <cell r="B231">
            <v>105</v>
          </cell>
          <cell r="C231">
            <v>52.5</v>
          </cell>
          <cell r="D231">
            <v>17.5</v>
          </cell>
          <cell r="E231">
            <v>1168224.4499049957</v>
          </cell>
        </row>
        <row r="232">
          <cell r="A232">
            <v>211</v>
          </cell>
          <cell r="B232">
            <v>105.5</v>
          </cell>
          <cell r="C232">
            <v>52.75</v>
          </cell>
          <cell r="D232">
            <v>17.583333333333332</v>
          </cell>
          <cell r="E232">
            <v>1128999.6611582865</v>
          </cell>
        </row>
        <row r="233">
          <cell r="A233">
            <v>212</v>
          </cell>
          <cell r="B233">
            <v>106</v>
          </cell>
          <cell r="C233">
            <v>53</v>
          </cell>
          <cell r="D233">
            <v>17.666666666666668</v>
          </cell>
          <cell r="E233">
            <v>1089795.259348918</v>
          </cell>
        </row>
        <row r="234">
          <cell r="A234">
            <v>213</v>
          </cell>
          <cell r="B234">
            <v>106.5</v>
          </cell>
          <cell r="C234">
            <v>53.25</v>
          </cell>
          <cell r="D234">
            <v>17.75</v>
          </cell>
          <cell r="E234">
            <v>1050611.1579577182</v>
          </cell>
        </row>
        <row r="235">
          <cell r="A235">
            <v>214</v>
          </cell>
          <cell r="B235">
            <v>107</v>
          </cell>
          <cell r="C235">
            <v>53.5</v>
          </cell>
          <cell r="D235">
            <v>17.833333333333332</v>
          </cell>
          <cell r="E235">
            <v>1011447.2705454985</v>
          </cell>
        </row>
        <row r="236">
          <cell r="A236">
            <v>215</v>
          </cell>
          <cell r="B236">
            <v>107.5</v>
          </cell>
          <cell r="C236">
            <v>53.75</v>
          </cell>
          <cell r="D236">
            <v>17.916666666666668</v>
          </cell>
          <cell r="E236">
            <v>972303.51075284579</v>
          </cell>
        </row>
        <row r="237">
          <cell r="A237">
            <v>216</v>
          </cell>
          <cell r="B237">
            <v>108</v>
          </cell>
          <cell r="C237">
            <v>54</v>
          </cell>
          <cell r="D237">
            <v>18</v>
          </cell>
          <cell r="E237">
            <v>933179.79229991708</v>
          </cell>
        </row>
        <row r="238">
          <cell r="A238">
            <v>217</v>
          </cell>
          <cell r="B238">
            <v>108.5</v>
          </cell>
          <cell r="C238">
            <v>54.25</v>
          </cell>
          <cell r="D238">
            <v>18.083333333333332</v>
          </cell>
          <cell r="E238">
            <v>894076.02898623212</v>
          </cell>
        </row>
        <row r="239">
          <cell r="A239">
            <v>218</v>
          </cell>
          <cell r="B239">
            <v>109</v>
          </cell>
          <cell r="C239">
            <v>54.5</v>
          </cell>
          <cell r="D239">
            <v>18.166666666666668</v>
          </cell>
          <cell r="E239">
            <v>854992.13469046727</v>
          </cell>
        </row>
        <row r="240">
          <cell r="A240">
            <v>219</v>
          </cell>
          <cell r="B240">
            <v>109.5</v>
          </cell>
          <cell r="C240">
            <v>54.75</v>
          </cell>
          <cell r="D240">
            <v>18.25</v>
          </cell>
          <cell r="E240">
            <v>815928.02337025001</v>
          </cell>
        </row>
        <row r="241">
          <cell r="A241">
            <v>220</v>
          </cell>
          <cell r="B241">
            <v>110</v>
          </cell>
          <cell r="C241">
            <v>55</v>
          </cell>
          <cell r="D241">
            <v>18.333333333333332</v>
          </cell>
          <cell r="E241">
            <v>776883.6090619528</v>
          </cell>
        </row>
        <row r="242">
          <cell r="A242">
            <v>221</v>
          </cell>
          <cell r="B242">
            <v>110.5</v>
          </cell>
          <cell r="C242">
            <v>55.25</v>
          </cell>
          <cell r="D242">
            <v>18.416666666666668</v>
          </cell>
          <cell r="E242">
            <v>737858.80588048743</v>
          </cell>
        </row>
        <row r="243">
          <cell r="A243">
            <v>222</v>
          </cell>
          <cell r="B243">
            <v>111</v>
          </cell>
          <cell r="C243">
            <v>55.5</v>
          </cell>
          <cell r="D243">
            <v>18.5</v>
          </cell>
          <cell r="E243">
            <v>698853.52801910031</v>
          </cell>
        </row>
        <row r="244">
          <cell r="A244">
            <v>223</v>
          </cell>
          <cell r="B244">
            <v>111.5</v>
          </cell>
          <cell r="C244">
            <v>55.75</v>
          </cell>
          <cell r="D244">
            <v>18.583333333333332</v>
          </cell>
          <cell r="E244">
            <v>659867.68974916718</v>
          </cell>
        </row>
        <row r="245">
          <cell r="A245">
            <v>224</v>
          </cell>
          <cell r="B245">
            <v>112</v>
          </cell>
          <cell r="C245">
            <v>56</v>
          </cell>
          <cell r="D245">
            <v>18.666666666666668</v>
          </cell>
          <cell r="E245">
            <v>620901.20541998837</v>
          </cell>
        </row>
        <row r="246">
          <cell r="A246">
            <v>225</v>
          </cell>
          <cell r="B246">
            <v>112.5</v>
          </cell>
          <cell r="C246">
            <v>56.25</v>
          </cell>
          <cell r="D246">
            <v>18.75</v>
          </cell>
          <cell r="E246">
            <v>581953.98945858446</v>
          </cell>
        </row>
        <row r="247">
          <cell r="A247">
            <v>226</v>
          </cell>
          <cell r="B247">
            <v>113</v>
          </cell>
          <cell r="C247">
            <v>56.5</v>
          </cell>
          <cell r="D247">
            <v>18.833333333333332</v>
          </cell>
          <cell r="E247">
            <v>543025.95636949188</v>
          </cell>
        </row>
        <row r="248">
          <cell r="A248">
            <v>227</v>
          </cell>
          <cell r="B248">
            <v>113.5</v>
          </cell>
          <cell r="C248">
            <v>56.75</v>
          </cell>
          <cell r="D248">
            <v>18.916666666666668</v>
          </cell>
          <cell r="E248">
            <v>504117.02073455905</v>
          </cell>
        </row>
        <row r="249">
          <cell r="A249">
            <v>228</v>
          </cell>
          <cell r="B249">
            <v>114</v>
          </cell>
          <cell r="C249">
            <v>57</v>
          </cell>
          <cell r="D249">
            <v>19</v>
          </cell>
          <cell r="E249">
            <v>465227.09721274261</v>
          </cell>
        </row>
        <row r="250">
          <cell r="A250">
            <v>229</v>
          </cell>
          <cell r="B250">
            <v>114.5</v>
          </cell>
          <cell r="C250">
            <v>57.25</v>
          </cell>
          <cell r="D250">
            <v>19.083333333333332</v>
          </cell>
          <cell r="E250">
            <v>426356.10053990374</v>
          </cell>
        </row>
        <row r="251">
          <cell r="A251">
            <v>230</v>
          </cell>
          <cell r="B251">
            <v>115</v>
          </cell>
          <cell r="C251">
            <v>57.5</v>
          </cell>
          <cell r="D251">
            <v>19.166666666666668</v>
          </cell>
          <cell r="E251">
            <v>387503.94552860525</v>
          </cell>
        </row>
        <row r="252">
          <cell r="A252">
            <v>231</v>
          </cell>
          <cell r="B252">
            <v>115.5</v>
          </cell>
          <cell r="C252">
            <v>57.75</v>
          </cell>
          <cell r="D252">
            <v>19.25</v>
          </cell>
          <cell r="E252">
            <v>348670.54706790834</v>
          </cell>
        </row>
        <row r="253">
          <cell r="A253">
            <v>232</v>
          </cell>
          <cell r="B253">
            <v>116</v>
          </cell>
          <cell r="C253">
            <v>58</v>
          </cell>
          <cell r="D253">
            <v>19.333333333333332</v>
          </cell>
          <cell r="E253">
            <v>309855.82012316992</v>
          </cell>
        </row>
        <row r="254">
          <cell r="A254">
            <v>233</v>
          </cell>
          <cell r="B254">
            <v>116.5</v>
          </cell>
          <cell r="C254">
            <v>58.25</v>
          </cell>
          <cell r="D254">
            <v>19.416666666666668</v>
          </cell>
          <cell r="E254">
            <v>271059.67973584001</v>
          </cell>
        </row>
        <row r="255">
          <cell r="A255">
            <v>234</v>
          </cell>
          <cell r="B255">
            <v>117</v>
          </cell>
          <cell r="C255">
            <v>58.5</v>
          </cell>
          <cell r="D255">
            <v>19.5</v>
          </cell>
          <cell r="E255">
            <v>232282.04102325952</v>
          </cell>
        </row>
        <row r="256">
          <cell r="A256">
            <v>235</v>
          </cell>
          <cell r="B256">
            <v>117.5</v>
          </cell>
          <cell r="C256">
            <v>58.75</v>
          </cell>
          <cell r="D256">
            <v>19.583333333333332</v>
          </cell>
          <cell r="E256">
            <v>193522.8191784583</v>
          </cell>
        </row>
        <row r="257">
          <cell r="A257">
            <v>236</v>
          </cell>
          <cell r="B257">
            <v>118</v>
          </cell>
          <cell r="C257">
            <v>59</v>
          </cell>
          <cell r="D257">
            <v>19.666666666666668</v>
          </cell>
          <cell r="E257">
            <v>154781.92946995323</v>
          </cell>
        </row>
        <row r="258">
          <cell r="A258">
            <v>237</v>
          </cell>
          <cell r="B258">
            <v>118.5</v>
          </cell>
          <cell r="C258">
            <v>59.25</v>
          </cell>
          <cell r="D258">
            <v>19.75</v>
          </cell>
          <cell r="E258">
            <v>116059.28724154673</v>
          </cell>
        </row>
        <row r="259">
          <cell r="A259">
            <v>238</v>
          </cell>
          <cell r="B259">
            <v>119</v>
          </cell>
          <cell r="C259">
            <v>59.5</v>
          </cell>
          <cell r="D259">
            <v>19.833333333333332</v>
          </cell>
          <cell r="E259">
            <v>77354.807912125427</v>
          </cell>
        </row>
        <row r="260">
          <cell r="A260">
            <v>239</v>
          </cell>
          <cell r="B260">
            <v>119.5</v>
          </cell>
          <cell r="C260">
            <v>59.75</v>
          </cell>
          <cell r="D260">
            <v>19.916666666666668</v>
          </cell>
          <cell r="E260">
            <v>38668.40697545914</v>
          </cell>
        </row>
        <row r="261">
          <cell r="A261">
            <v>240</v>
          </cell>
          <cell r="B261">
            <v>120</v>
          </cell>
          <cell r="C261">
            <v>60</v>
          </cell>
          <cell r="D261">
            <v>20</v>
          </cell>
          <cell r="E261">
            <v>7.2639407786342765E-12</v>
          </cell>
        </row>
        <row r="262">
          <cell r="A262">
            <v>241</v>
          </cell>
          <cell r="B262">
            <v>120.5</v>
          </cell>
          <cell r="C262">
            <v>60.25</v>
          </cell>
          <cell r="D262">
            <v>20.083333333333332</v>
          </cell>
          <cell r="E262">
            <v>0</v>
          </cell>
        </row>
        <row r="263">
          <cell r="A263">
            <v>242</v>
          </cell>
          <cell r="B263">
            <v>121</v>
          </cell>
          <cell r="C263">
            <v>60.5</v>
          </cell>
          <cell r="D263">
            <v>20.166666666666668</v>
          </cell>
          <cell r="E263">
            <v>0</v>
          </cell>
        </row>
        <row r="264">
          <cell r="A264">
            <v>243</v>
          </cell>
          <cell r="B264">
            <v>121.5</v>
          </cell>
          <cell r="C264">
            <v>60.75</v>
          </cell>
          <cell r="D264">
            <v>20.25</v>
          </cell>
          <cell r="E264">
            <v>0</v>
          </cell>
        </row>
        <row r="265">
          <cell r="A265">
            <v>244</v>
          </cell>
          <cell r="B265">
            <v>122</v>
          </cell>
          <cell r="C265">
            <v>61</v>
          </cell>
          <cell r="D265">
            <v>20.333333333333332</v>
          </cell>
          <cell r="E265">
            <v>0</v>
          </cell>
        </row>
        <row r="266">
          <cell r="A266">
            <v>245</v>
          </cell>
          <cell r="B266">
            <v>122.5</v>
          </cell>
          <cell r="C266">
            <v>61.25</v>
          </cell>
          <cell r="D266">
            <v>20.416666666666668</v>
          </cell>
          <cell r="E266">
            <v>0</v>
          </cell>
        </row>
        <row r="267">
          <cell r="A267">
            <v>246</v>
          </cell>
          <cell r="B267">
            <v>123</v>
          </cell>
          <cell r="C267">
            <v>61.5</v>
          </cell>
          <cell r="D267">
            <v>20.5</v>
          </cell>
          <cell r="E267">
            <v>0</v>
          </cell>
        </row>
        <row r="268">
          <cell r="A268">
            <v>247</v>
          </cell>
          <cell r="B268">
            <v>123.5</v>
          </cell>
          <cell r="C268">
            <v>61.75</v>
          </cell>
          <cell r="D268">
            <v>20.583333333333332</v>
          </cell>
          <cell r="E268">
            <v>0</v>
          </cell>
        </row>
        <row r="269">
          <cell r="A269">
            <v>248</v>
          </cell>
          <cell r="B269">
            <v>124</v>
          </cell>
          <cell r="C269">
            <v>62</v>
          </cell>
          <cell r="D269">
            <v>20.666666666666668</v>
          </cell>
          <cell r="E269">
            <v>0</v>
          </cell>
        </row>
        <row r="270">
          <cell r="A270">
            <v>249</v>
          </cell>
          <cell r="B270">
            <v>124.5</v>
          </cell>
          <cell r="C270">
            <v>62.25</v>
          </cell>
          <cell r="D270">
            <v>20.75</v>
          </cell>
          <cell r="E270">
            <v>0</v>
          </cell>
        </row>
        <row r="271">
          <cell r="A271">
            <v>250</v>
          </cell>
          <cell r="B271">
            <v>125</v>
          </cell>
          <cell r="C271">
            <v>62.5</v>
          </cell>
          <cell r="D271">
            <v>20.833333333333332</v>
          </cell>
          <cell r="E271">
            <v>0</v>
          </cell>
        </row>
        <row r="272">
          <cell r="A272">
            <v>251</v>
          </cell>
          <cell r="B272">
            <v>125.5</v>
          </cell>
          <cell r="C272">
            <v>62.75</v>
          </cell>
          <cell r="D272">
            <v>20.916666666666668</v>
          </cell>
          <cell r="E272">
            <v>0</v>
          </cell>
        </row>
        <row r="273">
          <cell r="A273">
            <v>252</v>
          </cell>
          <cell r="B273">
            <v>126</v>
          </cell>
          <cell r="C273">
            <v>63</v>
          </cell>
          <cell r="D273">
            <v>21</v>
          </cell>
          <cell r="E273">
            <v>0</v>
          </cell>
        </row>
        <row r="274">
          <cell r="A274">
            <v>253</v>
          </cell>
          <cell r="B274">
            <v>126.5</v>
          </cell>
          <cell r="C274">
            <v>63.25</v>
          </cell>
          <cell r="D274">
            <v>21.083333333333332</v>
          </cell>
          <cell r="E274">
            <v>0</v>
          </cell>
        </row>
        <row r="275">
          <cell r="A275">
            <v>254</v>
          </cell>
          <cell r="B275">
            <v>127</v>
          </cell>
          <cell r="C275">
            <v>63.5</v>
          </cell>
          <cell r="D275">
            <v>21.166666666666668</v>
          </cell>
          <cell r="E275">
            <v>0</v>
          </cell>
        </row>
        <row r="276">
          <cell r="A276">
            <v>255</v>
          </cell>
          <cell r="B276">
            <v>127.5</v>
          </cell>
          <cell r="C276">
            <v>63.75</v>
          </cell>
          <cell r="D276">
            <v>21.25</v>
          </cell>
          <cell r="E276">
            <v>0</v>
          </cell>
        </row>
        <row r="277">
          <cell r="A277">
            <v>256</v>
          </cell>
          <cell r="B277">
            <v>128</v>
          </cell>
          <cell r="C277">
            <v>64</v>
          </cell>
          <cell r="D277">
            <v>21.333333333333332</v>
          </cell>
          <cell r="E277">
            <v>0</v>
          </cell>
        </row>
        <row r="278">
          <cell r="A278">
            <v>257</v>
          </cell>
          <cell r="B278">
            <v>128.5</v>
          </cell>
          <cell r="C278">
            <v>64.25</v>
          </cell>
          <cell r="D278">
            <v>21.416666666666668</v>
          </cell>
          <cell r="E278">
            <v>0</v>
          </cell>
        </row>
        <row r="279">
          <cell r="A279">
            <v>258</v>
          </cell>
          <cell r="B279">
            <v>129</v>
          </cell>
          <cell r="C279">
            <v>64.5</v>
          </cell>
          <cell r="D279">
            <v>21.5</v>
          </cell>
          <cell r="E279">
            <v>0</v>
          </cell>
        </row>
        <row r="280">
          <cell r="A280">
            <v>259</v>
          </cell>
          <cell r="B280">
            <v>129.5</v>
          </cell>
          <cell r="C280">
            <v>64.75</v>
          </cell>
          <cell r="D280">
            <v>21.583333333333332</v>
          </cell>
          <cell r="E280">
            <v>0</v>
          </cell>
        </row>
        <row r="281">
          <cell r="A281">
            <v>260</v>
          </cell>
          <cell r="B281">
            <v>130</v>
          </cell>
          <cell r="C281">
            <v>65</v>
          </cell>
          <cell r="D281">
            <v>21.666666666666668</v>
          </cell>
          <cell r="E281">
            <v>0</v>
          </cell>
        </row>
        <row r="282">
          <cell r="A282">
            <v>261</v>
          </cell>
          <cell r="B282">
            <v>130.5</v>
          </cell>
          <cell r="C282">
            <v>65.25</v>
          </cell>
          <cell r="D282">
            <v>21.75</v>
          </cell>
          <cell r="E282">
            <v>0</v>
          </cell>
        </row>
        <row r="283">
          <cell r="A283">
            <v>262</v>
          </cell>
          <cell r="B283">
            <v>131</v>
          </cell>
          <cell r="C283">
            <v>65.5</v>
          </cell>
          <cell r="D283">
            <v>21.833333333333332</v>
          </cell>
          <cell r="E283">
            <v>0</v>
          </cell>
        </row>
        <row r="284">
          <cell r="A284">
            <v>263</v>
          </cell>
          <cell r="B284">
            <v>131.5</v>
          </cell>
          <cell r="C284">
            <v>65.75</v>
          </cell>
          <cell r="D284">
            <v>21.916666666666668</v>
          </cell>
          <cell r="E284">
            <v>0</v>
          </cell>
        </row>
        <row r="285">
          <cell r="A285">
            <v>264</v>
          </cell>
          <cell r="B285">
            <v>132</v>
          </cell>
          <cell r="C285">
            <v>66</v>
          </cell>
          <cell r="D285">
            <v>22</v>
          </cell>
          <cell r="E285">
            <v>0</v>
          </cell>
        </row>
        <row r="286">
          <cell r="A286">
            <v>265</v>
          </cell>
          <cell r="B286">
            <v>132.5</v>
          </cell>
          <cell r="C286">
            <v>66.25</v>
          </cell>
          <cell r="D286">
            <v>22.083333333333332</v>
          </cell>
          <cell r="E286">
            <v>0</v>
          </cell>
        </row>
        <row r="287">
          <cell r="A287">
            <v>266</v>
          </cell>
          <cell r="B287">
            <v>133</v>
          </cell>
          <cell r="C287">
            <v>66.5</v>
          </cell>
          <cell r="D287">
            <v>22.166666666666668</v>
          </cell>
          <cell r="E287">
            <v>0</v>
          </cell>
        </row>
        <row r="288">
          <cell r="A288">
            <v>267</v>
          </cell>
          <cell r="B288">
            <v>133.5</v>
          </cell>
          <cell r="C288">
            <v>66.75</v>
          </cell>
          <cell r="D288">
            <v>22.25</v>
          </cell>
          <cell r="E288">
            <v>0</v>
          </cell>
        </row>
        <row r="289">
          <cell r="A289">
            <v>268</v>
          </cell>
          <cell r="B289">
            <v>134</v>
          </cell>
          <cell r="C289">
            <v>67</v>
          </cell>
          <cell r="D289">
            <v>22.333333333333332</v>
          </cell>
          <cell r="E289">
            <v>0</v>
          </cell>
        </row>
        <row r="290">
          <cell r="A290">
            <v>269</v>
          </cell>
          <cell r="B290">
            <v>134.5</v>
          </cell>
          <cell r="C290">
            <v>67.25</v>
          </cell>
          <cell r="D290">
            <v>22.416666666666668</v>
          </cell>
          <cell r="E290">
            <v>0</v>
          </cell>
        </row>
        <row r="291">
          <cell r="A291">
            <v>270</v>
          </cell>
          <cell r="B291">
            <v>135</v>
          </cell>
          <cell r="C291">
            <v>67.5</v>
          </cell>
          <cell r="D291">
            <v>22.5</v>
          </cell>
          <cell r="E291">
            <v>0</v>
          </cell>
        </row>
        <row r="292">
          <cell r="A292">
            <v>271</v>
          </cell>
          <cell r="B292">
            <v>135.5</v>
          </cell>
          <cell r="C292">
            <v>67.75</v>
          </cell>
          <cell r="D292">
            <v>22.583333333333332</v>
          </cell>
          <cell r="E292">
            <v>0</v>
          </cell>
        </row>
        <row r="293">
          <cell r="A293">
            <v>272</v>
          </cell>
          <cell r="B293">
            <v>136</v>
          </cell>
          <cell r="C293">
            <v>68</v>
          </cell>
          <cell r="D293">
            <v>22.666666666666668</v>
          </cell>
          <cell r="E293">
            <v>0</v>
          </cell>
        </row>
        <row r="294">
          <cell r="A294">
            <v>273</v>
          </cell>
          <cell r="B294">
            <v>136.5</v>
          </cell>
          <cell r="C294">
            <v>68.25</v>
          </cell>
          <cell r="D294">
            <v>22.75</v>
          </cell>
          <cell r="E294">
            <v>0</v>
          </cell>
        </row>
        <row r="295">
          <cell r="A295">
            <v>274</v>
          </cell>
          <cell r="B295">
            <v>137</v>
          </cell>
          <cell r="C295">
            <v>68.5</v>
          </cell>
          <cell r="D295">
            <v>22.833333333333332</v>
          </cell>
          <cell r="E295">
            <v>0</v>
          </cell>
        </row>
        <row r="296">
          <cell r="A296">
            <v>275</v>
          </cell>
          <cell r="B296">
            <v>137.5</v>
          </cell>
          <cell r="C296">
            <v>68.75</v>
          </cell>
          <cell r="D296">
            <v>22.916666666666668</v>
          </cell>
          <cell r="E296">
            <v>0</v>
          </cell>
        </row>
        <row r="297">
          <cell r="A297">
            <v>276</v>
          </cell>
          <cell r="B297">
            <v>138</v>
          </cell>
          <cell r="C297">
            <v>69</v>
          </cell>
          <cell r="D297">
            <v>23</v>
          </cell>
          <cell r="E297">
            <v>0</v>
          </cell>
        </row>
        <row r="298">
          <cell r="A298">
            <v>277</v>
          </cell>
          <cell r="B298">
            <v>138.5</v>
          </cell>
          <cell r="C298">
            <v>69.25</v>
          </cell>
          <cell r="D298">
            <v>23.083333333333332</v>
          </cell>
          <cell r="E298">
            <v>0</v>
          </cell>
        </row>
        <row r="299">
          <cell r="A299">
            <v>278</v>
          </cell>
          <cell r="B299">
            <v>139</v>
          </cell>
          <cell r="C299">
            <v>69.5</v>
          </cell>
          <cell r="D299">
            <v>23.166666666666668</v>
          </cell>
          <cell r="E299">
            <v>0</v>
          </cell>
        </row>
        <row r="300">
          <cell r="A300">
            <v>279</v>
          </cell>
          <cell r="B300">
            <v>139.5</v>
          </cell>
          <cell r="C300">
            <v>69.75</v>
          </cell>
          <cell r="D300">
            <v>23.25</v>
          </cell>
          <cell r="E300">
            <v>0</v>
          </cell>
        </row>
        <row r="301">
          <cell r="A301">
            <v>280</v>
          </cell>
          <cell r="B301">
            <v>140</v>
          </cell>
          <cell r="C301">
            <v>70</v>
          </cell>
          <cell r="D301">
            <v>23.333333333333332</v>
          </cell>
          <cell r="E301">
            <v>0</v>
          </cell>
        </row>
        <row r="302">
          <cell r="A302">
            <v>281</v>
          </cell>
          <cell r="B302">
            <v>140.5</v>
          </cell>
          <cell r="C302">
            <v>70.25</v>
          </cell>
          <cell r="D302">
            <v>23.416666666666668</v>
          </cell>
          <cell r="E302">
            <v>0</v>
          </cell>
        </row>
        <row r="303">
          <cell r="A303">
            <v>282</v>
          </cell>
          <cell r="B303">
            <v>141</v>
          </cell>
          <cell r="C303">
            <v>70.5</v>
          </cell>
          <cell r="D303">
            <v>23.5</v>
          </cell>
          <cell r="E303">
            <v>0</v>
          </cell>
        </row>
        <row r="304">
          <cell r="A304">
            <v>283</v>
          </cell>
          <cell r="B304">
            <v>141.5</v>
          </cell>
          <cell r="C304">
            <v>70.75</v>
          </cell>
          <cell r="D304">
            <v>23.583333333333332</v>
          </cell>
          <cell r="E304">
            <v>0</v>
          </cell>
        </row>
        <row r="305">
          <cell r="A305">
            <v>284</v>
          </cell>
          <cell r="B305">
            <v>142</v>
          </cell>
          <cell r="C305">
            <v>71</v>
          </cell>
          <cell r="D305">
            <v>23.666666666666668</v>
          </cell>
          <cell r="E305">
            <v>0</v>
          </cell>
        </row>
        <row r="306">
          <cell r="A306">
            <v>285</v>
          </cell>
          <cell r="B306">
            <v>142.5</v>
          </cell>
          <cell r="C306">
            <v>71.25</v>
          </cell>
          <cell r="D306">
            <v>23.75</v>
          </cell>
          <cell r="E306">
            <v>0</v>
          </cell>
        </row>
        <row r="307">
          <cell r="A307">
            <v>286</v>
          </cell>
          <cell r="B307">
            <v>143</v>
          </cell>
          <cell r="C307">
            <v>71.5</v>
          </cell>
          <cell r="D307">
            <v>23.833333333333332</v>
          </cell>
          <cell r="E307">
            <v>0</v>
          </cell>
        </row>
        <row r="308">
          <cell r="A308">
            <v>287</v>
          </cell>
          <cell r="B308">
            <v>143.5</v>
          </cell>
          <cell r="C308">
            <v>71.75</v>
          </cell>
          <cell r="D308">
            <v>23.916666666666668</v>
          </cell>
          <cell r="E308">
            <v>0</v>
          </cell>
        </row>
        <row r="309">
          <cell r="A309">
            <v>288</v>
          </cell>
          <cell r="B309">
            <v>144</v>
          </cell>
          <cell r="C309">
            <v>72</v>
          </cell>
          <cell r="D309">
            <v>24</v>
          </cell>
          <cell r="E309">
            <v>0</v>
          </cell>
        </row>
        <row r="310">
          <cell r="A310">
            <v>289</v>
          </cell>
          <cell r="B310">
            <v>144.5</v>
          </cell>
          <cell r="C310">
            <v>72.25</v>
          </cell>
          <cell r="D310">
            <v>24.083333333333332</v>
          </cell>
          <cell r="E310">
            <v>0</v>
          </cell>
        </row>
        <row r="311">
          <cell r="A311">
            <v>290</v>
          </cell>
          <cell r="B311">
            <v>145</v>
          </cell>
          <cell r="C311">
            <v>72.5</v>
          </cell>
          <cell r="D311">
            <v>24.166666666666668</v>
          </cell>
          <cell r="E311">
            <v>0</v>
          </cell>
        </row>
        <row r="312">
          <cell r="A312">
            <v>291</v>
          </cell>
          <cell r="B312">
            <v>145.5</v>
          </cell>
          <cell r="C312">
            <v>72.75</v>
          </cell>
          <cell r="D312">
            <v>24.25</v>
          </cell>
          <cell r="E312">
            <v>0</v>
          </cell>
        </row>
        <row r="313">
          <cell r="A313">
            <v>292</v>
          </cell>
          <cell r="B313">
            <v>146</v>
          </cell>
          <cell r="C313">
            <v>73</v>
          </cell>
          <cell r="D313">
            <v>24.333333333333332</v>
          </cell>
          <cell r="E313">
            <v>0</v>
          </cell>
        </row>
        <row r="314">
          <cell r="A314">
            <v>293</v>
          </cell>
          <cell r="B314">
            <v>146.5</v>
          </cell>
          <cell r="C314">
            <v>73.25</v>
          </cell>
          <cell r="D314">
            <v>24.416666666666668</v>
          </cell>
          <cell r="E314">
            <v>0</v>
          </cell>
        </row>
        <row r="315">
          <cell r="A315">
            <v>294</v>
          </cell>
          <cell r="B315">
            <v>147</v>
          </cell>
          <cell r="C315">
            <v>73.5</v>
          </cell>
          <cell r="D315">
            <v>24.5</v>
          </cell>
          <cell r="E315">
            <v>0</v>
          </cell>
        </row>
        <row r="316">
          <cell r="A316">
            <v>295</v>
          </cell>
          <cell r="B316">
            <v>147.5</v>
          </cell>
          <cell r="C316">
            <v>73.75</v>
          </cell>
          <cell r="D316">
            <v>24.583333333333332</v>
          </cell>
          <cell r="E316">
            <v>0</v>
          </cell>
        </row>
        <row r="317">
          <cell r="A317">
            <v>296</v>
          </cell>
          <cell r="B317">
            <v>148</v>
          </cell>
          <cell r="C317">
            <v>74</v>
          </cell>
          <cell r="D317">
            <v>24.666666666666668</v>
          </cell>
          <cell r="E317">
            <v>0</v>
          </cell>
        </row>
        <row r="318">
          <cell r="A318">
            <v>297</v>
          </cell>
          <cell r="B318">
            <v>148.5</v>
          </cell>
          <cell r="C318">
            <v>74.25</v>
          </cell>
          <cell r="D318">
            <v>24.75</v>
          </cell>
          <cell r="E318">
            <v>0</v>
          </cell>
        </row>
        <row r="319">
          <cell r="A319">
            <v>298</v>
          </cell>
          <cell r="B319">
            <v>149</v>
          </cell>
          <cell r="C319">
            <v>74.5</v>
          </cell>
          <cell r="D319">
            <v>24.833333333333332</v>
          </cell>
          <cell r="E319">
            <v>0</v>
          </cell>
        </row>
        <row r="320">
          <cell r="A320">
            <v>299</v>
          </cell>
          <cell r="B320">
            <v>149.5</v>
          </cell>
          <cell r="C320">
            <v>74.75</v>
          </cell>
          <cell r="D320">
            <v>24.916666666666668</v>
          </cell>
          <cell r="E320">
            <v>0</v>
          </cell>
        </row>
        <row r="321">
          <cell r="A321">
            <v>300</v>
          </cell>
          <cell r="B321">
            <v>150</v>
          </cell>
          <cell r="C321">
            <v>75</v>
          </cell>
          <cell r="D321">
            <v>25</v>
          </cell>
          <cell r="E321">
            <v>0</v>
          </cell>
        </row>
        <row r="322">
          <cell r="A322">
            <v>301</v>
          </cell>
          <cell r="B322">
            <v>150.5</v>
          </cell>
          <cell r="C322">
            <v>75.25</v>
          </cell>
          <cell r="D322">
            <v>25.083333333333332</v>
          </cell>
          <cell r="E322">
            <v>0</v>
          </cell>
        </row>
        <row r="323">
          <cell r="A323">
            <v>302</v>
          </cell>
          <cell r="B323">
            <v>151</v>
          </cell>
          <cell r="C323">
            <v>75.5</v>
          </cell>
          <cell r="D323">
            <v>25.166666666666668</v>
          </cell>
          <cell r="E323">
            <v>0</v>
          </cell>
        </row>
        <row r="324">
          <cell r="A324">
            <v>303</v>
          </cell>
          <cell r="B324">
            <v>151.5</v>
          </cell>
          <cell r="C324">
            <v>75.75</v>
          </cell>
          <cell r="D324">
            <v>25.25</v>
          </cell>
          <cell r="E324">
            <v>0</v>
          </cell>
        </row>
        <row r="325">
          <cell r="A325">
            <v>304</v>
          </cell>
          <cell r="B325">
            <v>152</v>
          </cell>
          <cell r="C325">
            <v>76</v>
          </cell>
          <cell r="D325">
            <v>25.333333333333332</v>
          </cell>
          <cell r="E325">
            <v>0</v>
          </cell>
        </row>
        <row r="326">
          <cell r="A326">
            <v>305</v>
          </cell>
          <cell r="B326">
            <v>152.5</v>
          </cell>
          <cell r="C326">
            <v>76.25</v>
          </cell>
          <cell r="D326">
            <v>25.416666666666668</v>
          </cell>
          <cell r="E326">
            <v>0</v>
          </cell>
        </row>
        <row r="327">
          <cell r="A327">
            <v>306</v>
          </cell>
          <cell r="B327">
            <v>153</v>
          </cell>
          <cell r="C327">
            <v>76.5</v>
          </cell>
          <cell r="D327">
            <v>25.5</v>
          </cell>
          <cell r="E327">
            <v>0</v>
          </cell>
        </row>
        <row r="328">
          <cell r="A328">
            <v>307</v>
          </cell>
          <cell r="B328">
            <v>153.5</v>
          </cell>
          <cell r="C328">
            <v>76.75</v>
          </cell>
          <cell r="D328">
            <v>25.583333333333332</v>
          </cell>
          <cell r="E328">
            <v>0</v>
          </cell>
        </row>
        <row r="329">
          <cell r="A329">
            <v>308</v>
          </cell>
          <cell r="B329">
            <v>154</v>
          </cell>
          <cell r="C329">
            <v>77</v>
          </cell>
          <cell r="D329">
            <v>25.666666666666668</v>
          </cell>
          <cell r="E329">
            <v>0</v>
          </cell>
        </row>
        <row r="330">
          <cell r="A330">
            <v>309</v>
          </cell>
          <cell r="B330">
            <v>154.5</v>
          </cell>
          <cell r="C330">
            <v>77.25</v>
          </cell>
          <cell r="D330">
            <v>25.75</v>
          </cell>
          <cell r="E330">
            <v>0</v>
          </cell>
        </row>
        <row r="331">
          <cell r="A331">
            <v>310</v>
          </cell>
          <cell r="B331">
            <v>155</v>
          </cell>
          <cell r="C331">
            <v>77.5</v>
          </cell>
          <cell r="D331">
            <v>25.833333333333332</v>
          </cell>
          <cell r="E331">
            <v>0</v>
          </cell>
        </row>
        <row r="332">
          <cell r="A332">
            <v>311</v>
          </cell>
          <cell r="B332">
            <v>155.5</v>
          </cell>
          <cell r="C332">
            <v>77.75</v>
          </cell>
          <cell r="D332">
            <v>25.916666666666668</v>
          </cell>
          <cell r="E332">
            <v>0</v>
          </cell>
        </row>
        <row r="333">
          <cell r="A333">
            <v>312</v>
          </cell>
          <cell r="B333">
            <v>156</v>
          </cell>
          <cell r="C333">
            <v>78</v>
          </cell>
          <cell r="D333">
            <v>26</v>
          </cell>
          <cell r="E333">
            <v>0</v>
          </cell>
        </row>
        <row r="334">
          <cell r="A334">
            <v>313</v>
          </cell>
          <cell r="B334">
            <v>156.5</v>
          </cell>
          <cell r="C334">
            <v>78.25</v>
          </cell>
          <cell r="D334">
            <v>26.083333333333332</v>
          </cell>
          <cell r="E334">
            <v>0</v>
          </cell>
        </row>
        <row r="335">
          <cell r="A335">
            <v>314</v>
          </cell>
          <cell r="B335">
            <v>157</v>
          </cell>
          <cell r="C335">
            <v>78.5</v>
          </cell>
          <cell r="D335">
            <v>26.166666666666668</v>
          </cell>
          <cell r="E335">
            <v>0</v>
          </cell>
        </row>
        <row r="336">
          <cell r="A336">
            <v>315</v>
          </cell>
          <cell r="B336">
            <v>157.5</v>
          </cell>
          <cell r="C336">
            <v>78.75</v>
          </cell>
          <cell r="D336">
            <v>26.25</v>
          </cell>
          <cell r="E336">
            <v>0</v>
          </cell>
        </row>
        <row r="337">
          <cell r="A337">
            <v>316</v>
          </cell>
          <cell r="B337">
            <v>158</v>
          </cell>
          <cell r="C337">
            <v>79</v>
          </cell>
          <cell r="D337">
            <v>26.333333333333332</v>
          </cell>
          <cell r="E337">
            <v>0</v>
          </cell>
        </row>
        <row r="338">
          <cell r="A338">
            <v>317</v>
          </cell>
          <cell r="B338">
            <v>158.5</v>
          </cell>
          <cell r="C338">
            <v>79.25</v>
          </cell>
          <cell r="D338">
            <v>26.416666666666668</v>
          </cell>
          <cell r="E338">
            <v>0</v>
          </cell>
        </row>
        <row r="339">
          <cell r="A339">
            <v>318</v>
          </cell>
          <cell r="B339">
            <v>159</v>
          </cell>
          <cell r="C339">
            <v>79.5</v>
          </cell>
          <cell r="D339">
            <v>26.5</v>
          </cell>
          <cell r="E339">
            <v>0</v>
          </cell>
        </row>
        <row r="340">
          <cell r="A340">
            <v>319</v>
          </cell>
          <cell r="B340">
            <v>159.5</v>
          </cell>
          <cell r="C340">
            <v>79.75</v>
          </cell>
          <cell r="D340">
            <v>26.583333333333332</v>
          </cell>
          <cell r="E340">
            <v>0</v>
          </cell>
        </row>
        <row r="341">
          <cell r="A341">
            <v>320</v>
          </cell>
          <cell r="B341">
            <v>160</v>
          </cell>
          <cell r="C341">
            <v>80</v>
          </cell>
          <cell r="D341">
            <v>26.666666666666668</v>
          </cell>
          <cell r="E341">
            <v>0</v>
          </cell>
        </row>
        <row r="342">
          <cell r="A342">
            <v>321</v>
          </cell>
          <cell r="B342">
            <v>160.5</v>
          </cell>
          <cell r="C342">
            <v>80.25</v>
          </cell>
          <cell r="D342">
            <v>26.75</v>
          </cell>
          <cell r="E342">
            <v>0</v>
          </cell>
        </row>
        <row r="343">
          <cell r="A343">
            <v>322</v>
          </cell>
          <cell r="B343">
            <v>161</v>
          </cell>
          <cell r="C343">
            <v>80.5</v>
          </cell>
          <cell r="D343">
            <v>26.833333333333332</v>
          </cell>
          <cell r="E343">
            <v>0</v>
          </cell>
        </row>
        <row r="344">
          <cell r="A344">
            <v>323</v>
          </cell>
          <cell r="B344">
            <v>161.5</v>
          </cell>
          <cell r="C344">
            <v>80.75</v>
          </cell>
          <cell r="D344">
            <v>26.916666666666668</v>
          </cell>
          <cell r="E344">
            <v>0</v>
          </cell>
        </row>
        <row r="345">
          <cell r="A345">
            <v>324</v>
          </cell>
          <cell r="B345">
            <v>162</v>
          </cell>
          <cell r="C345">
            <v>81</v>
          </cell>
          <cell r="D345">
            <v>27</v>
          </cell>
          <cell r="E345">
            <v>0</v>
          </cell>
        </row>
        <row r="346">
          <cell r="A346">
            <v>325</v>
          </cell>
          <cell r="B346">
            <v>162.5</v>
          </cell>
          <cell r="C346">
            <v>81.25</v>
          </cell>
          <cell r="D346">
            <v>27.083333333333332</v>
          </cell>
          <cell r="E346">
            <v>0</v>
          </cell>
        </row>
        <row r="347">
          <cell r="A347">
            <v>326</v>
          </cell>
          <cell r="B347">
            <v>163</v>
          </cell>
          <cell r="C347">
            <v>81.5</v>
          </cell>
          <cell r="D347">
            <v>27.166666666666668</v>
          </cell>
          <cell r="E347">
            <v>0</v>
          </cell>
        </row>
        <row r="348">
          <cell r="A348">
            <v>327</v>
          </cell>
          <cell r="B348">
            <v>163.5</v>
          </cell>
          <cell r="C348">
            <v>81.75</v>
          </cell>
          <cell r="D348">
            <v>27.25</v>
          </cell>
          <cell r="E348">
            <v>0</v>
          </cell>
        </row>
        <row r="349">
          <cell r="A349">
            <v>328</v>
          </cell>
          <cell r="B349">
            <v>164</v>
          </cell>
          <cell r="C349">
            <v>82</v>
          </cell>
          <cell r="D349">
            <v>27.333333333333332</v>
          </cell>
          <cell r="E349">
            <v>0</v>
          </cell>
        </row>
        <row r="350">
          <cell r="A350">
            <v>329</v>
          </cell>
          <cell r="B350">
            <v>164.5</v>
          </cell>
          <cell r="C350">
            <v>82.25</v>
          </cell>
          <cell r="D350">
            <v>27.416666666666668</v>
          </cell>
          <cell r="E350">
            <v>0</v>
          </cell>
        </row>
        <row r="351">
          <cell r="A351">
            <v>330</v>
          </cell>
          <cell r="B351">
            <v>165</v>
          </cell>
          <cell r="C351">
            <v>82.5</v>
          </cell>
          <cell r="D351">
            <v>27.5</v>
          </cell>
          <cell r="E351">
            <v>0</v>
          </cell>
        </row>
        <row r="352">
          <cell r="A352">
            <v>331</v>
          </cell>
          <cell r="B352">
            <v>165.5</v>
          </cell>
          <cell r="C352">
            <v>82.75</v>
          </cell>
          <cell r="D352">
            <v>27.583333333333332</v>
          </cell>
          <cell r="E352">
            <v>0</v>
          </cell>
        </row>
        <row r="353">
          <cell r="A353">
            <v>332</v>
          </cell>
          <cell r="B353">
            <v>166</v>
          </cell>
          <cell r="C353">
            <v>83</v>
          </cell>
          <cell r="D353">
            <v>27.666666666666668</v>
          </cell>
          <cell r="E353">
            <v>0</v>
          </cell>
        </row>
        <row r="354">
          <cell r="A354">
            <v>333</v>
          </cell>
          <cell r="B354">
            <v>166.5</v>
          </cell>
          <cell r="C354">
            <v>83.25</v>
          </cell>
          <cell r="D354">
            <v>27.75</v>
          </cell>
          <cell r="E354">
            <v>0</v>
          </cell>
        </row>
        <row r="355">
          <cell r="A355">
            <v>334</v>
          </cell>
          <cell r="B355">
            <v>167</v>
          </cell>
          <cell r="C355">
            <v>83.5</v>
          </cell>
          <cell r="D355">
            <v>27.833333333333332</v>
          </cell>
          <cell r="E355">
            <v>0</v>
          </cell>
        </row>
        <row r="356">
          <cell r="A356">
            <v>335</v>
          </cell>
          <cell r="B356">
            <v>167.5</v>
          </cell>
          <cell r="C356">
            <v>83.75</v>
          </cell>
          <cell r="D356">
            <v>27.916666666666668</v>
          </cell>
          <cell r="E356">
            <v>0</v>
          </cell>
        </row>
        <row r="357">
          <cell r="A357">
            <v>336</v>
          </cell>
          <cell r="B357">
            <v>168</v>
          </cell>
          <cell r="C357">
            <v>84</v>
          </cell>
          <cell r="D357">
            <v>28</v>
          </cell>
          <cell r="E357">
            <v>0</v>
          </cell>
        </row>
        <row r="358">
          <cell r="A358">
            <v>337</v>
          </cell>
          <cell r="B358">
            <v>168.5</v>
          </cell>
          <cell r="C358">
            <v>84.25</v>
          </cell>
          <cell r="D358">
            <v>28.083333333333332</v>
          </cell>
          <cell r="E358">
            <v>0</v>
          </cell>
        </row>
        <row r="359">
          <cell r="A359">
            <v>338</v>
          </cell>
          <cell r="B359">
            <v>169</v>
          </cell>
          <cell r="C359">
            <v>84.5</v>
          </cell>
          <cell r="D359">
            <v>28.166666666666668</v>
          </cell>
          <cell r="E359">
            <v>0</v>
          </cell>
        </row>
        <row r="360">
          <cell r="A360">
            <v>339</v>
          </cell>
          <cell r="B360">
            <v>169.5</v>
          </cell>
          <cell r="C360">
            <v>84.75</v>
          </cell>
          <cell r="D360">
            <v>28.25</v>
          </cell>
          <cell r="E360">
            <v>0</v>
          </cell>
        </row>
        <row r="361">
          <cell r="A361">
            <v>340</v>
          </cell>
          <cell r="B361">
            <v>170</v>
          </cell>
          <cell r="C361">
            <v>85</v>
          </cell>
          <cell r="D361">
            <v>28.333333333333332</v>
          </cell>
          <cell r="E361">
            <v>0</v>
          </cell>
        </row>
        <row r="362">
          <cell r="A362">
            <v>341</v>
          </cell>
          <cell r="B362">
            <v>170.5</v>
          </cell>
          <cell r="C362">
            <v>85.25</v>
          </cell>
          <cell r="D362">
            <v>28.416666666666668</v>
          </cell>
          <cell r="E362">
            <v>0</v>
          </cell>
        </row>
        <row r="363">
          <cell r="A363">
            <v>342</v>
          </cell>
          <cell r="B363">
            <v>171</v>
          </cell>
          <cell r="C363">
            <v>85.5</v>
          </cell>
          <cell r="D363">
            <v>28.5</v>
          </cell>
          <cell r="E363">
            <v>0</v>
          </cell>
        </row>
        <row r="364">
          <cell r="A364">
            <v>343</v>
          </cell>
          <cell r="B364">
            <v>171.5</v>
          </cell>
          <cell r="C364">
            <v>85.75</v>
          </cell>
          <cell r="D364">
            <v>28.583333333333332</v>
          </cell>
          <cell r="E364">
            <v>0</v>
          </cell>
        </row>
        <row r="365">
          <cell r="A365">
            <v>344</v>
          </cell>
          <cell r="B365">
            <v>172</v>
          </cell>
          <cell r="C365">
            <v>86</v>
          </cell>
          <cell r="D365">
            <v>28.666666666666668</v>
          </cell>
          <cell r="E365">
            <v>0</v>
          </cell>
        </row>
        <row r="366">
          <cell r="A366">
            <v>345</v>
          </cell>
          <cell r="B366">
            <v>172.5</v>
          </cell>
          <cell r="C366">
            <v>86.25</v>
          </cell>
          <cell r="D366">
            <v>28.75</v>
          </cell>
          <cell r="E366">
            <v>0</v>
          </cell>
        </row>
        <row r="367">
          <cell r="A367">
            <v>346</v>
          </cell>
          <cell r="B367">
            <v>173</v>
          </cell>
          <cell r="C367">
            <v>86.5</v>
          </cell>
          <cell r="D367">
            <v>28.833333333333332</v>
          </cell>
          <cell r="E367">
            <v>0</v>
          </cell>
        </row>
        <row r="368">
          <cell r="A368">
            <v>347</v>
          </cell>
          <cell r="B368">
            <v>173.5</v>
          </cell>
          <cell r="C368">
            <v>86.75</v>
          </cell>
          <cell r="D368">
            <v>28.916666666666668</v>
          </cell>
          <cell r="E368">
            <v>0</v>
          </cell>
        </row>
        <row r="369">
          <cell r="A369">
            <v>348</v>
          </cell>
          <cell r="B369">
            <v>174</v>
          </cell>
          <cell r="C369">
            <v>87</v>
          </cell>
          <cell r="D369">
            <v>29</v>
          </cell>
          <cell r="E369">
            <v>0</v>
          </cell>
        </row>
        <row r="370">
          <cell r="A370">
            <v>349</v>
          </cell>
          <cell r="B370">
            <v>174.5</v>
          </cell>
          <cell r="C370">
            <v>87.25</v>
          </cell>
          <cell r="D370">
            <v>29.083333333333332</v>
          </cell>
          <cell r="E370">
            <v>0</v>
          </cell>
        </row>
        <row r="371">
          <cell r="A371">
            <v>350</v>
          </cell>
          <cell r="B371">
            <v>175</v>
          </cell>
          <cell r="C371">
            <v>87.5</v>
          </cell>
          <cell r="D371">
            <v>29.166666666666668</v>
          </cell>
          <cell r="E371">
            <v>0</v>
          </cell>
        </row>
        <row r="372">
          <cell r="A372">
            <v>351</v>
          </cell>
          <cell r="B372">
            <v>175.5</v>
          </cell>
          <cell r="C372">
            <v>87.75</v>
          </cell>
          <cell r="D372">
            <v>29.25</v>
          </cell>
          <cell r="E372">
            <v>0</v>
          </cell>
        </row>
        <row r="373">
          <cell r="A373">
            <v>352</v>
          </cell>
          <cell r="B373">
            <v>176</v>
          </cell>
          <cell r="C373">
            <v>88</v>
          </cell>
          <cell r="D373">
            <v>29.333333333333332</v>
          </cell>
          <cell r="E373">
            <v>0</v>
          </cell>
        </row>
        <row r="374">
          <cell r="A374">
            <v>353</v>
          </cell>
          <cell r="B374">
            <v>176.5</v>
          </cell>
          <cell r="C374">
            <v>88.25</v>
          </cell>
          <cell r="D374">
            <v>29.416666666666668</v>
          </cell>
          <cell r="E374">
            <v>0</v>
          </cell>
        </row>
        <row r="375">
          <cell r="A375">
            <v>354</v>
          </cell>
          <cell r="B375">
            <v>177</v>
          </cell>
          <cell r="C375">
            <v>88.5</v>
          </cell>
          <cell r="D375">
            <v>29.5</v>
          </cell>
          <cell r="E375">
            <v>0</v>
          </cell>
        </row>
        <row r="376">
          <cell r="A376">
            <v>355</v>
          </cell>
          <cell r="B376">
            <v>177.5</v>
          </cell>
          <cell r="C376">
            <v>88.75</v>
          </cell>
          <cell r="D376">
            <v>29.583333333333332</v>
          </cell>
          <cell r="E376">
            <v>0</v>
          </cell>
        </row>
        <row r="377">
          <cell r="A377">
            <v>356</v>
          </cell>
          <cell r="B377">
            <v>178</v>
          </cell>
          <cell r="C377">
            <v>89</v>
          </cell>
          <cell r="D377">
            <v>29.666666666666668</v>
          </cell>
          <cell r="E377">
            <v>0</v>
          </cell>
        </row>
        <row r="378">
          <cell r="A378">
            <v>357</v>
          </cell>
          <cell r="B378">
            <v>178.5</v>
          </cell>
          <cell r="C378">
            <v>89.25</v>
          </cell>
          <cell r="D378">
            <v>29.75</v>
          </cell>
          <cell r="E378">
            <v>0</v>
          </cell>
        </row>
        <row r="379">
          <cell r="A379">
            <v>358</v>
          </cell>
          <cell r="B379">
            <v>179</v>
          </cell>
          <cell r="C379">
            <v>89.5</v>
          </cell>
          <cell r="D379">
            <v>29.833333333333332</v>
          </cell>
          <cell r="E379">
            <v>0</v>
          </cell>
        </row>
        <row r="380">
          <cell r="A380">
            <v>359</v>
          </cell>
          <cell r="B380">
            <v>179.5</v>
          </cell>
          <cell r="C380">
            <v>89.75</v>
          </cell>
          <cell r="D380">
            <v>29.916666666666668</v>
          </cell>
          <cell r="E380">
            <v>0</v>
          </cell>
        </row>
        <row r="381">
          <cell r="A381">
            <v>360</v>
          </cell>
          <cell r="B381">
            <v>180</v>
          </cell>
          <cell r="C381">
            <v>90</v>
          </cell>
          <cell r="D381">
            <v>30</v>
          </cell>
          <cell r="E381">
            <v>0</v>
          </cell>
        </row>
      </sheetData>
      <sheetData sheetId="7">
        <row r="17">
          <cell r="AG17">
            <v>15.046700031206727</v>
          </cell>
        </row>
        <row r="18">
          <cell r="AA18">
            <v>2.8737867707580023</v>
          </cell>
        </row>
        <row r="22">
          <cell r="A22">
            <v>1</v>
          </cell>
          <cell r="B22">
            <v>0.5</v>
          </cell>
          <cell r="C22">
            <v>0.25</v>
          </cell>
          <cell r="D22">
            <v>8.3333333333333329E-2</v>
          </cell>
          <cell r="E22">
            <v>9962488.5530829113</v>
          </cell>
        </row>
        <row r="23">
          <cell r="A23">
            <v>2</v>
          </cell>
          <cell r="B23">
            <v>1</v>
          </cell>
          <cell r="C23">
            <v>0.5</v>
          </cell>
          <cell r="D23">
            <v>0.16666666666666666</v>
          </cell>
          <cell r="E23">
            <v>9925013.3893345371</v>
          </cell>
        </row>
        <row r="24">
          <cell r="A24">
            <v>3</v>
          </cell>
          <cell r="B24">
            <v>1.5</v>
          </cell>
          <cell r="C24">
            <v>0.75</v>
          </cell>
          <cell r="D24">
            <v>0.25</v>
          </cell>
          <cell r="E24">
            <v>9887574.4174451455</v>
          </cell>
        </row>
        <row r="25">
          <cell r="A25">
            <v>4</v>
          </cell>
          <cell r="B25">
            <v>2</v>
          </cell>
          <cell r="C25">
            <v>1</v>
          </cell>
          <cell r="D25">
            <v>0.33333333333333331</v>
          </cell>
          <cell r="E25">
            <v>9850171.5462174341</v>
          </cell>
        </row>
        <row r="26">
          <cell r="A26">
            <v>5</v>
          </cell>
          <cell r="B26">
            <v>2.5</v>
          </cell>
          <cell r="C26">
            <v>1.25</v>
          </cell>
          <cell r="D26">
            <v>0.41666666666666669</v>
          </cell>
          <cell r="E26">
            <v>9812804.6845663022</v>
          </cell>
        </row>
        <row r="27">
          <cell r="A27">
            <v>6</v>
          </cell>
          <cell r="B27">
            <v>3</v>
          </cell>
          <cell r="C27">
            <v>1.5</v>
          </cell>
          <cell r="D27">
            <v>0.5</v>
          </cell>
          <cell r="E27">
            <v>9775473.7415186148</v>
          </cell>
        </row>
        <row r="28">
          <cell r="A28">
            <v>7</v>
          </cell>
          <cell r="B28">
            <v>3.5</v>
          </cell>
          <cell r="C28">
            <v>1.75</v>
          </cell>
          <cell r="D28">
            <v>0.58333333333333337</v>
          </cell>
          <cell r="E28">
            <v>9738178.626212975</v>
          </cell>
        </row>
        <row r="29">
          <cell r="A29">
            <v>8</v>
          </cell>
          <cell r="B29">
            <v>4</v>
          </cell>
          <cell r="C29">
            <v>2</v>
          </cell>
          <cell r="D29">
            <v>0.66666666666666663</v>
          </cell>
          <cell r="E29">
            <v>9700919.2478994913</v>
          </cell>
        </row>
        <row r="30">
          <cell r="A30">
            <v>9</v>
          </cell>
          <cell r="B30">
            <v>4.5</v>
          </cell>
          <cell r="C30">
            <v>2.25</v>
          </cell>
          <cell r="D30">
            <v>0.75</v>
          </cell>
          <cell r="E30">
            <v>9663695.515939543</v>
          </cell>
        </row>
        <row r="31">
          <cell r="A31">
            <v>10</v>
          </cell>
          <cell r="B31">
            <v>5</v>
          </cell>
          <cell r="C31">
            <v>2.5</v>
          </cell>
          <cell r="D31">
            <v>0.83333333333333337</v>
          </cell>
          <cell r="E31">
            <v>9626507.3398055509</v>
          </cell>
        </row>
        <row r="32">
          <cell r="A32">
            <v>11</v>
          </cell>
          <cell r="B32">
            <v>5.5</v>
          </cell>
          <cell r="C32">
            <v>2.75</v>
          </cell>
          <cell r="D32">
            <v>0.91666666666666663</v>
          </cell>
          <cell r="E32">
            <v>9589354.6290807482</v>
          </cell>
        </row>
        <row r="33">
          <cell r="A33">
            <v>12</v>
          </cell>
          <cell r="B33">
            <v>6</v>
          </cell>
          <cell r="C33">
            <v>3</v>
          </cell>
          <cell r="D33">
            <v>1</v>
          </cell>
          <cell r="E33">
            <v>9552237.2934589516</v>
          </cell>
        </row>
        <row r="34">
          <cell r="A34">
            <v>13</v>
          </cell>
          <cell r="B34">
            <v>6.5</v>
          </cell>
          <cell r="C34">
            <v>3.25</v>
          </cell>
          <cell r="D34">
            <v>1.0833333333333333</v>
          </cell>
          <cell r="E34">
            <v>9515155.2427443247</v>
          </cell>
        </row>
        <row r="35">
          <cell r="A35">
            <v>14</v>
          </cell>
          <cell r="B35">
            <v>7</v>
          </cell>
          <cell r="C35">
            <v>3.5</v>
          </cell>
          <cell r="D35">
            <v>1.1666666666666667</v>
          </cell>
          <cell r="E35">
            <v>9478108.3868511561</v>
          </cell>
        </row>
        <row r="36">
          <cell r="A36">
            <v>15</v>
          </cell>
          <cell r="B36">
            <v>7.5</v>
          </cell>
          <cell r="C36">
            <v>3.75</v>
          </cell>
          <cell r="D36">
            <v>1.25</v>
          </cell>
          <cell r="E36">
            <v>9441096.635803625</v>
          </cell>
        </row>
        <row r="37">
          <cell r="A37">
            <v>16</v>
          </cell>
          <cell r="B37">
            <v>8</v>
          </cell>
          <cell r="C37">
            <v>4</v>
          </cell>
          <cell r="D37">
            <v>1.3333333333333333</v>
          </cell>
          <cell r="E37">
            <v>9404119.8997355718</v>
          </cell>
        </row>
        <row r="38">
          <cell r="A38">
            <v>17</v>
          </cell>
          <cell r="B38">
            <v>8.5</v>
          </cell>
          <cell r="C38">
            <v>4.25</v>
          </cell>
          <cell r="D38">
            <v>1.4166666666666667</v>
          </cell>
          <cell r="E38">
            <v>9367178.0888902731</v>
          </cell>
        </row>
        <row r="39">
          <cell r="A39">
            <v>18</v>
          </cell>
          <cell r="B39">
            <v>9</v>
          </cell>
          <cell r="C39">
            <v>4.5</v>
          </cell>
          <cell r="D39">
            <v>1.5</v>
          </cell>
          <cell r="E39">
            <v>9330271.1136202123</v>
          </cell>
        </row>
        <row r="40">
          <cell r="A40">
            <v>19</v>
          </cell>
          <cell r="B40">
            <v>9.5</v>
          </cell>
          <cell r="C40">
            <v>4.75</v>
          </cell>
          <cell r="D40">
            <v>1.5833333333333333</v>
          </cell>
          <cell r="E40">
            <v>9293398.8843868487</v>
          </cell>
        </row>
        <row r="41">
          <cell r="A41">
            <v>20</v>
          </cell>
          <cell r="B41">
            <v>10</v>
          </cell>
          <cell r="C41">
            <v>5</v>
          </cell>
          <cell r="D41">
            <v>1.6666666666666667</v>
          </cell>
          <cell r="E41">
            <v>9256561.311760392</v>
          </cell>
        </row>
        <row r="42">
          <cell r="A42">
            <v>21</v>
          </cell>
          <cell r="B42">
            <v>10.5</v>
          </cell>
          <cell r="C42">
            <v>5.25</v>
          </cell>
          <cell r="D42">
            <v>1.75</v>
          </cell>
          <cell r="E42">
            <v>9219758.3064195737</v>
          </cell>
        </row>
        <row r="43">
          <cell r="A43">
            <v>22</v>
          </cell>
          <cell r="B43">
            <v>11</v>
          </cell>
          <cell r="C43">
            <v>5.5</v>
          </cell>
          <cell r="D43">
            <v>1.8333333333333333</v>
          </cell>
          <cell r="E43">
            <v>9182989.7791514229</v>
          </cell>
        </row>
        <row r="44">
          <cell r="A44">
            <v>23</v>
          </cell>
          <cell r="B44">
            <v>11.5</v>
          </cell>
          <cell r="C44">
            <v>5.75</v>
          </cell>
          <cell r="D44">
            <v>1.9166666666666667</v>
          </cell>
          <cell r="E44">
            <v>9146255.6408510357</v>
          </cell>
        </row>
        <row r="45">
          <cell r="A45">
            <v>24</v>
          </cell>
          <cell r="B45">
            <v>12</v>
          </cell>
          <cell r="C45">
            <v>6</v>
          </cell>
          <cell r="D45">
            <v>2</v>
          </cell>
          <cell r="E45">
            <v>9109555.8025213499</v>
          </cell>
        </row>
        <row r="46">
          <cell r="A46">
            <v>25</v>
          </cell>
          <cell r="B46">
            <v>12.5</v>
          </cell>
          <cell r="C46">
            <v>6.25</v>
          </cell>
          <cell r="D46">
            <v>2.0833333333333335</v>
          </cell>
          <cell r="E46">
            <v>9072890.1752729211</v>
          </cell>
        </row>
        <row r="47">
          <cell r="A47">
            <v>26</v>
          </cell>
          <cell r="B47">
            <v>13</v>
          </cell>
          <cell r="C47">
            <v>6.5</v>
          </cell>
          <cell r="D47">
            <v>2.1666666666666665</v>
          </cell>
          <cell r="E47">
            <v>9036258.6703236923</v>
          </cell>
        </row>
        <row r="48">
          <cell r="A48">
            <v>27</v>
          </cell>
          <cell r="B48">
            <v>13.5</v>
          </cell>
          <cell r="C48">
            <v>6.75</v>
          </cell>
          <cell r="D48">
            <v>2.25</v>
          </cell>
          <cell r="E48">
            <v>8999661.1989987735</v>
          </cell>
        </row>
        <row r="49">
          <cell r="A49">
            <v>28</v>
          </cell>
          <cell r="B49">
            <v>14</v>
          </cell>
          <cell r="C49">
            <v>7</v>
          </cell>
          <cell r="D49">
            <v>2.3333333333333335</v>
          </cell>
          <cell r="E49">
            <v>8963097.6727302112</v>
          </cell>
        </row>
        <row r="50">
          <cell r="A50">
            <v>29</v>
          </cell>
          <cell r="B50">
            <v>14.5</v>
          </cell>
          <cell r="C50">
            <v>7.25</v>
          </cell>
          <cell r="D50">
            <v>2.4166666666666665</v>
          </cell>
          <cell r="E50">
            <v>8926568.0030567702</v>
          </cell>
        </row>
        <row r="51">
          <cell r="A51">
            <v>30</v>
          </cell>
          <cell r="B51">
            <v>15</v>
          </cell>
          <cell r="C51">
            <v>7.5</v>
          </cell>
          <cell r="D51">
            <v>2.5</v>
          </cell>
          <cell r="E51">
            <v>8890072.1016236991</v>
          </cell>
        </row>
        <row r="52">
          <cell r="A52">
            <v>31</v>
          </cell>
          <cell r="B52">
            <v>15.5</v>
          </cell>
          <cell r="C52">
            <v>7.75</v>
          </cell>
          <cell r="D52">
            <v>2.5833333333333335</v>
          </cell>
          <cell r="E52">
            <v>8853609.8801825177</v>
          </cell>
        </row>
        <row r="53">
          <cell r="A53">
            <v>32</v>
          </cell>
          <cell r="B53">
            <v>16</v>
          </cell>
          <cell r="C53">
            <v>8</v>
          </cell>
          <cell r="D53">
            <v>2.6666666666666665</v>
          </cell>
          <cell r="E53">
            <v>8817181.2505907845</v>
          </cell>
        </row>
        <row r="54">
          <cell r="A54">
            <v>33</v>
          </cell>
          <cell r="B54">
            <v>16.5</v>
          </cell>
          <cell r="C54">
            <v>8.25</v>
          </cell>
          <cell r="D54">
            <v>2.75</v>
          </cell>
          <cell r="E54">
            <v>8780786.1248118747</v>
          </cell>
        </row>
        <row r="55">
          <cell r="A55">
            <v>34</v>
          </cell>
          <cell r="B55">
            <v>17</v>
          </cell>
          <cell r="C55">
            <v>8.5</v>
          </cell>
          <cell r="D55">
            <v>2.8333333333333335</v>
          </cell>
          <cell r="E55">
            <v>8744424.4149147589</v>
          </cell>
        </row>
        <row r="56">
          <cell r="A56">
            <v>35</v>
          </cell>
          <cell r="B56">
            <v>17.5</v>
          </cell>
          <cell r="C56">
            <v>8.75</v>
          </cell>
          <cell r="D56">
            <v>2.9166666666666665</v>
          </cell>
          <cell r="E56">
            <v>8708096.0330737811</v>
          </cell>
        </row>
        <row r="57">
          <cell r="A57">
            <v>36</v>
          </cell>
          <cell r="B57">
            <v>18</v>
          </cell>
          <cell r="C57">
            <v>9</v>
          </cell>
          <cell r="D57">
            <v>3</v>
          </cell>
          <cell r="E57">
            <v>8671800.8915684298</v>
          </cell>
        </row>
        <row r="58">
          <cell r="A58">
            <v>37</v>
          </cell>
          <cell r="B58">
            <v>18.5</v>
          </cell>
          <cell r="C58">
            <v>9.25</v>
          </cell>
          <cell r="D58">
            <v>3.0833333333333335</v>
          </cell>
          <cell r="E58">
            <v>8635538.9027831238</v>
          </cell>
        </row>
        <row r="59">
          <cell r="A59">
            <v>38</v>
          </cell>
          <cell r="B59">
            <v>19</v>
          </cell>
          <cell r="C59">
            <v>9.5</v>
          </cell>
          <cell r="D59">
            <v>3.1666666666666665</v>
          </cell>
          <cell r="E59">
            <v>8599309.979206983</v>
          </cell>
        </row>
        <row r="60">
          <cell r="A60">
            <v>39</v>
          </cell>
          <cell r="B60">
            <v>19.5</v>
          </cell>
          <cell r="C60">
            <v>9.75</v>
          </cell>
          <cell r="D60">
            <v>3.25</v>
          </cell>
          <cell r="E60">
            <v>8563114.0334336068</v>
          </cell>
        </row>
        <row r="61">
          <cell r="A61">
            <v>40</v>
          </cell>
          <cell r="B61">
            <v>20</v>
          </cell>
          <cell r="C61">
            <v>10</v>
          </cell>
          <cell r="D61">
            <v>3.3333333333333335</v>
          </cell>
          <cell r="E61">
            <v>8526950.9781608619</v>
          </cell>
        </row>
        <row r="62">
          <cell r="A62">
            <v>41</v>
          </cell>
          <cell r="B62">
            <v>20.5</v>
          </cell>
          <cell r="C62">
            <v>10.25</v>
          </cell>
          <cell r="D62">
            <v>3.4166666666666665</v>
          </cell>
          <cell r="E62">
            <v>8490820.726190649</v>
          </cell>
        </row>
        <row r="63">
          <cell r="A63">
            <v>42</v>
          </cell>
          <cell r="B63">
            <v>21</v>
          </cell>
          <cell r="C63">
            <v>10.5</v>
          </cell>
          <cell r="D63">
            <v>3.5</v>
          </cell>
          <cell r="E63">
            <v>8454723.1904286891</v>
          </cell>
        </row>
        <row r="64">
          <cell r="A64">
            <v>43</v>
          </cell>
          <cell r="B64">
            <v>21.5</v>
          </cell>
          <cell r="C64">
            <v>10.75</v>
          </cell>
          <cell r="D64">
            <v>3.5833333333333335</v>
          </cell>
          <cell r="E64">
            <v>8418658.2838842999</v>
          </cell>
        </row>
        <row r="65">
          <cell r="A65">
            <v>44</v>
          </cell>
          <cell r="B65">
            <v>22</v>
          </cell>
          <cell r="C65">
            <v>11</v>
          </cell>
          <cell r="D65">
            <v>3.6666666666666665</v>
          </cell>
          <cell r="E65">
            <v>8382625.9196701786</v>
          </cell>
        </row>
        <row r="66">
          <cell r="A66">
            <v>45</v>
          </cell>
          <cell r="B66">
            <v>22.5</v>
          </cell>
          <cell r="C66">
            <v>11.25</v>
          </cell>
          <cell r="D66">
            <v>3.75</v>
          </cell>
          <cell r="E66">
            <v>8346626.0110021783</v>
          </cell>
        </row>
        <row r="67">
          <cell r="A67">
            <v>46</v>
          </cell>
          <cell r="B67">
            <v>23</v>
          </cell>
          <cell r="C67">
            <v>11.5</v>
          </cell>
          <cell r="D67">
            <v>3.8333333333333335</v>
          </cell>
          <cell r="E67">
            <v>8310658.4711990906</v>
          </cell>
        </row>
        <row r="68">
          <cell r="A68">
            <v>47</v>
          </cell>
          <cell r="B68">
            <v>23.5</v>
          </cell>
          <cell r="C68">
            <v>11.75</v>
          </cell>
          <cell r="D68">
            <v>3.9166666666666665</v>
          </cell>
          <cell r="E68">
            <v>8274723.2136824252</v>
          </cell>
        </row>
        <row r="69">
          <cell r="A69">
            <v>48</v>
          </cell>
          <cell r="B69">
            <v>24</v>
          </cell>
          <cell r="C69">
            <v>12</v>
          </cell>
          <cell r="D69">
            <v>4</v>
          </cell>
          <cell r="E69">
            <v>8238820.1519761905</v>
          </cell>
        </row>
        <row r="70">
          <cell r="A70">
            <v>49</v>
          </cell>
          <cell r="B70">
            <v>24.5</v>
          </cell>
          <cell r="C70">
            <v>12.25</v>
          </cell>
          <cell r="D70">
            <v>4.083333333333333</v>
          </cell>
          <cell r="E70">
            <v>8202949.1997066773</v>
          </cell>
        </row>
        <row r="71">
          <cell r="A71">
            <v>50</v>
          </cell>
          <cell r="B71">
            <v>25</v>
          </cell>
          <cell r="C71">
            <v>12.5</v>
          </cell>
          <cell r="D71">
            <v>4.166666666666667</v>
          </cell>
          <cell r="E71">
            <v>8167110.2706022365</v>
          </cell>
        </row>
        <row r="72">
          <cell r="A72">
            <v>51</v>
          </cell>
          <cell r="B72">
            <v>25.5</v>
          </cell>
          <cell r="C72">
            <v>12.75</v>
          </cell>
          <cell r="D72">
            <v>4.25</v>
          </cell>
          <cell r="E72">
            <v>8131303.2784930635</v>
          </cell>
        </row>
        <row r="73">
          <cell r="A73">
            <v>52</v>
          </cell>
          <cell r="B73">
            <v>26</v>
          </cell>
          <cell r="C73">
            <v>13</v>
          </cell>
          <cell r="D73">
            <v>4.333333333333333</v>
          </cell>
          <cell r="E73">
            <v>8095528.137310979</v>
          </cell>
        </row>
        <row r="74">
          <cell r="A74">
            <v>53</v>
          </cell>
          <cell r="B74">
            <v>26.5</v>
          </cell>
          <cell r="C74">
            <v>13.25</v>
          </cell>
          <cell r="D74">
            <v>4.416666666666667</v>
          </cell>
          <cell r="E74">
            <v>8059784.7610892132</v>
          </cell>
        </row>
        <row r="75">
          <cell r="A75">
            <v>54</v>
          </cell>
          <cell r="B75">
            <v>27</v>
          </cell>
          <cell r="C75">
            <v>13.5</v>
          </cell>
          <cell r="D75">
            <v>4.5</v>
          </cell>
          <cell r="E75">
            <v>8024073.0639621867</v>
          </cell>
        </row>
        <row r="76">
          <cell r="A76">
            <v>55</v>
          </cell>
          <cell r="B76">
            <v>27.5</v>
          </cell>
          <cell r="C76">
            <v>13.75</v>
          </cell>
          <cell r="D76">
            <v>4.583333333333333</v>
          </cell>
          <cell r="E76">
            <v>7988392.9601652948</v>
          </cell>
        </row>
        <row r="77">
          <cell r="A77">
            <v>56</v>
          </cell>
          <cell r="B77">
            <v>28</v>
          </cell>
          <cell r="C77">
            <v>14</v>
          </cell>
          <cell r="D77">
            <v>4.666666666666667</v>
          </cell>
          <cell r="E77">
            <v>7952744.3640346881</v>
          </cell>
        </row>
        <row r="78">
          <cell r="A78">
            <v>57</v>
          </cell>
          <cell r="B78">
            <v>28.5</v>
          </cell>
          <cell r="C78">
            <v>14.25</v>
          </cell>
          <cell r="D78">
            <v>4.75</v>
          </cell>
          <cell r="E78">
            <v>7917127.1900070608</v>
          </cell>
        </row>
        <row r="79">
          <cell r="A79">
            <v>58</v>
          </cell>
          <cell r="B79">
            <v>29</v>
          </cell>
          <cell r="C79">
            <v>14.5</v>
          </cell>
          <cell r="D79">
            <v>4.833333333333333</v>
          </cell>
          <cell r="E79">
            <v>7881541.3526194301</v>
          </cell>
        </row>
        <row r="80">
          <cell r="A80">
            <v>59</v>
          </cell>
          <cell r="B80">
            <v>29.5</v>
          </cell>
          <cell r="C80">
            <v>14.75</v>
          </cell>
          <cell r="D80">
            <v>4.916666666666667</v>
          </cell>
          <cell r="E80">
            <v>7845986.7665089229</v>
          </cell>
        </row>
        <row r="81">
          <cell r="A81">
            <v>60</v>
          </cell>
          <cell r="B81">
            <v>30</v>
          </cell>
          <cell r="C81">
            <v>15</v>
          </cell>
          <cell r="D81">
            <v>5</v>
          </cell>
          <cell r="E81">
            <v>7810463.3464125609</v>
          </cell>
        </row>
        <row r="82">
          <cell r="A82">
            <v>61</v>
          </cell>
          <cell r="B82">
            <v>30.5</v>
          </cell>
          <cell r="C82">
            <v>15.25</v>
          </cell>
          <cell r="D82">
            <v>5.083333333333333</v>
          </cell>
          <cell r="E82">
            <v>7774971.0071670413</v>
          </cell>
        </row>
        <row r="83">
          <cell r="A83">
            <v>62</v>
          </cell>
          <cell r="B83">
            <v>31</v>
          </cell>
          <cell r="C83">
            <v>15.5</v>
          </cell>
          <cell r="D83">
            <v>5.166666666666667</v>
          </cell>
          <cell r="E83">
            <v>7739509.6637085257</v>
          </cell>
        </row>
        <row r="84">
          <cell r="A84">
            <v>63</v>
          </cell>
          <cell r="B84">
            <v>31.5</v>
          </cell>
          <cell r="C84">
            <v>15.75</v>
          </cell>
          <cell r="D84">
            <v>5.25</v>
          </cell>
          <cell r="E84">
            <v>7704079.2310724258</v>
          </cell>
        </row>
        <row r="85">
          <cell r="A85">
            <v>64</v>
          </cell>
          <cell r="B85">
            <v>32</v>
          </cell>
          <cell r="C85">
            <v>16</v>
          </cell>
          <cell r="D85">
            <v>5.333333333333333</v>
          </cell>
          <cell r="E85">
            <v>7668679.6243931875</v>
          </cell>
        </row>
        <row r="86">
          <cell r="A86">
            <v>65</v>
          </cell>
          <cell r="B86">
            <v>32.5</v>
          </cell>
          <cell r="C86">
            <v>16.25</v>
          </cell>
          <cell r="D86">
            <v>5.416666666666667</v>
          </cell>
          <cell r="E86">
            <v>7633310.7589040753</v>
          </cell>
        </row>
        <row r="87">
          <cell r="A87">
            <v>66</v>
          </cell>
          <cell r="B87">
            <v>33</v>
          </cell>
          <cell r="C87">
            <v>16.5</v>
          </cell>
          <cell r="D87">
            <v>5.5</v>
          </cell>
          <cell r="E87">
            <v>7597972.5499369614</v>
          </cell>
        </row>
        <row r="88">
          <cell r="A88">
            <v>67</v>
          </cell>
          <cell r="B88">
            <v>33.5</v>
          </cell>
          <cell r="C88">
            <v>16.75</v>
          </cell>
          <cell r="D88">
            <v>5.583333333333333</v>
          </cell>
          <cell r="E88">
            <v>7562664.9129221104</v>
          </cell>
        </row>
        <row r="89">
          <cell r="A89">
            <v>68</v>
          </cell>
          <cell r="B89">
            <v>34</v>
          </cell>
          <cell r="C89">
            <v>17</v>
          </cell>
          <cell r="D89">
            <v>5.666666666666667</v>
          </cell>
          <cell r="E89">
            <v>7527387.7633879688</v>
          </cell>
        </row>
        <row r="90">
          <cell r="A90">
            <v>69</v>
          </cell>
          <cell r="B90">
            <v>34.5</v>
          </cell>
          <cell r="C90">
            <v>17.25</v>
          </cell>
          <cell r="D90">
            <v>5.75</v>
          </cell>
          <cell r="E90">
            <v>7492141.0169609478</v>
          </cell>
        </row>
        <row r="91">
          <cell r="A91">
            <v>70</v>
          </cell>
          <cell r="B91">
            <v>35</v>
          </cell>
          <cell r="C91">
            <v>17.5</v>
          </cell>
          <cell r="D91">
            <v>5.833333333333333</v>
          </cell>
          <cell r="E91">
            <v>7456924.589365215</v>
          </cell>
        </row>
        <row r="92">
          <cell r="A92">
            <v>71</v>
          </cell>
          <cell r="B92">
            <v>35.5</v>
          </cell>
          <cell r="C92">
            <v>17.75</v>
          </cell>
          <cell r="D92">
            <v>5.916666666666667</v>
          </cell>
          <cell r="E92">
            <v>7421738.3964224784</v>
          </cell>
        </row>
        <row r="93">
          <cell r="A93">
            <v>72</v>
          </cell>
          <cell r="B93">
            <v>36</v>
          </cell>
          <cell r="C93">
            <v>18</v>
          </cell>
          <cell r="D93">
            <v>6</v>
          </cell>
          <cell r="E93">
            <v>7386582.3540517772</v>
          </cell>
        </row>
        <row r="94">
          <cell r="A94">
            <v>73</v>
          </cell>
          <cell r="B94">
            <v>36.5</v>
          </cell>
          <cell r="C94">
            <v>18.25</v>
          </cell>
          <cell r="D94">
            <v>6.083333333333333</v>
          </cell>
          <cell r="E94">
            <v>7351456.3782692691</v>
          </cell>
        </row>
        <row r="95">
          <cell r="A95">
            <v>74</v>
          </cell>
          <cell r="B95">
            <v>37</v>
          </cell>
          <cell r="C95">
            <v>18.5</v>
          </cell>
          <cell r="D95">
            <v>6.166666666666667</v>
          </cell>
          <cell r="E95">
            <v>7316360.3851880189</v>
          </cell>
        </row>
        <row r="96">
          <cell r="A96">
            <v>75</v>
          </cell>
          <cell r="B96">
            <v>37.5</v>
          </cell>
          <cell r="C96">
            <v>18.75</v>
          </cell>
          <cell r="D96">
            <v>6.25</v>
          </cell>
          <cell r="E96">
            <v>7281294.2910177857</v>
          </cell>
        </row>
        <row r="97">
          <cell r="A97">
            <v>76</v>
          </cell>
          <cell r="B97">
            <v>38</v>
          </cell>
          <cell r="C97">
            <v>19</v>
          </cell>
          <cell r="D97">
            <v>6.333333333333333</v>
          </cell>
          <cell r="E97">
            <v>7246258.0120648155</v>
          </cell>
        </row>
        <row r="98">
          <cell r="A98">
            <v>77</v>
          </cell>
          <cell r="B98">
            <v>38.5</v>
          </cell>
          <cell r="C98">
            <v>19.25</v>
          </cell>
          <cell r="D98">
            <v>6.416666666666667</v>
          </cell>
          <cell r="E98">
            <v>7211251.4647316271</v>
          </cell>
        </row>
        <row r="99">
          <cell r="A99">
            <v>78</v>
          </cell>
          <cell r="B99">
            <v>39</v>
          </cell>
          <cell r="C99">
            <v>19.5</v>
          </cell>
          <cell r="D99">
            <v>6.5</v>
          </cell>
          <cell r="E99">
            <v>7176274.5655168043</v>
          </cell>
        </row>
        <row r="100">
          <cell r="A100">
            <v>79</v>
          </cell>
          <cell r="B100">
            <v>39.5</v>
          </cell>
          <cell r="C100">
            <v>19.75</v>
          </cell>
          <cell r="D100">
            <v>6.583333333333333</v>
          </cell>
          <cell r="E100">
            <v>7141327.2310147863</v>
          </cell>
        </row>
        <row r="101">
          <cell r="A101">
            <v>80</v>
          </cell>
          <cell r="B101">
            <v>40</v>
          </cell>
          <cell r="C101">
            <v>20</v>
          </cell>
          <cell r="D101">
            <v>6.666666666666667</v>
          </cell>
          <cell r="E101">
            <v>7106409.3779156534</v>
          </cell>
        </row>
        <row r="102">
          <cell r="A102">
            <v>81</v>
          </cell>
          <cell r="B102">
            <v>40.5</v>
          </cell>
          <cell r="C102">
            <v>20.25</v>
          </cell>
          <cell r="D102">
            <v>6.75</v>
          </cell>
          <cell r="E102">
            <v>7071520.9230049225</v>
          </cell>
        </row>
        <row r="103">
          <cell r="A103">
            <v>82</v>
          </cell>
          <cell r="B103">
            <v>41</v>
          </cell>
          <cell r="C103">
            <v>20.5</v>
          </cell>
          <cell r="D103">
            <v>6.833333333333333</v>
          </cell>
          <cell r="E103">
            <v>7036661.7831633361</v>
          </cell>
        </row>
        <row r="104">
          <cell r="A104">
            <v>83</v>
          </cell>
          <cell r="B104">
            <v>41.5</v>
          </cell>
          <cell r="C104">
            <v>20.75</v>
          </cell>
          <cell r="D104">
            <v>6.916666666666667</v>
          </cell>
          <cell r="E104">
            <v>7001831.8753666552</v>
          </cell>
        </row>
        <row r="105">
          <cell r="A105">
            <v>84</v>
          </cell>
          <cell r="B105">
            <v>42</v>
          </cell>
          <cell r="C105">
            <v>21</v>
          </cell>
          <cell r="D105">
            <v>7</v>
          </cell>
          <cell r="E105">
            <v>6967031.1166854464</v>
          </cell>
        </row>
        <row r="106">
          <cell r="A106">
            <v>85</v>
          </cell>
          <cell r="B106">
            <v>42.5</v>
          </cell>
          <cell r="C106">
            <v>21.25</v>
          </cell>
          <cell r="D106">
            <v>7.083333333333333</v>
          </cell>
          <cell r="E106">
            <v>6932259.4242848763</v>
          </cell>
        </row>
        <row r="107">
          <cell r="A107">
            <v>86</v>
          </cell>
          <cell r="B107">
            <v>43</v>
          </cell>
          <cell r="C107">
            <v>21.5</v>
          </cell>
          <cell r="D107">
            <v>7.166666666666667</v>
          </cell>
          <cell r="E107">
            <v>6897516.715424506</v>
          </cell>
        </row>
        <row r="108">
          <cell r="A108">
            <v>87</v>
          </cell>
          <cell r="B108">
            <v>43.5</v>
          </cell>
          <cell r="C108">
            <v>21.75</v>
          </cell>
          <cell r="D108">
            <v>7.25</v>
          </cell>
          <cell r="E108">
            <v>6862802.907458079</v>
          </cell>
        </row>
        <row r="109">
          <cell r="A109">
            <v>88</v>
          </cell>
          <cell r="B109">
            <v>44</v>
          </cell>
          <cell r="C109">
            <v>22</v>
          </cell>
          <cell r="D109">
            <v>7.333333333333333</v>
          </cell>
          <cell r="E109">
            <v>6828117.9178333152</v>
          </cell>
        </row>
        <row r="110">
          <cell r="A110">
            <v>89</v>
          </cell>
          <cell r="B110">
            <v>44.5</v>
          </cell>
          <cell r="C110">
            <v>22.25</v>
          </cell>
          <cell r="D110">
            <v>7.416666666666667</v>
          </cell>
          <cell r="E110">
            <v>6793461.6640917044</v>
          </cell>
        </row>
        <row r="111">
          <cell r="A111">
            <v>90</v>
          </cell>
          <cell r="B111">
            <v>45</v>
          </cell>
          <cell r="C111">
            <v>22.5</v>
          </cell>
          <cell r="D111">
            <v>7.5</v>
          </cell>
          <cell r="E111">
            <v>6758834.0638682991</v>
          </cell>
        </row>
        <row r="112">
          <cell r="A112">
            <v>91</v>
          </cell>
          <cell r="B112">
            <v>45.5</v>
          </cell>
          <cell r="C112">
            <v>22.75</v>
          </cell>
          <cell r="D112">
            <v>7.583333333333333</v>
          </cell>
          <cell r="E112">
            <v>6724235.0348915067</v>
          </cell>
        </row>
        <row r="113">
          <cell r="A113">
            <v>92</v>
          </cell>
          <cell r="B113">
            <v>46</v>
          </cell>
          <cell r="C113">
            <v>23</v>
          </cell>
          <cell r="D113">
            <v>7.666666666666667</v>
          </cell>
          <cell r="E113">
            <v>6689664.4949828861</v>
          </cell>
        </row>
        <row r="114">
          <cell r="A114">
            <v>93</v>
          </cell>
          <cell r="B114">
            <v>46.5</v>
          </cell>
          <cell r="C114">
            <v>23.25</v>
          </cell>
          <cell r="D114">
            <v>7.75</v>
          </cell>
          <cell r="E114">
            <v>6655122.3620569371</v>
          </cell>
        </row>
        <row r="115">
          <cell r="A115">
            <v>94</v>
          </cell>
          <cell r="B115">
            <v>47</v>
          </cell>
          <cell r="C115">
            <v>23.5</v>
          </cell>
          <cell r="D115">
            <v>7.833333333333333</v>
          </cell>
          <cell r="E115">
            <v>6620608.5541209001</v>
          </cell>
        </row>
        <row r="116">
          <cell r="A116">
            <v>95</v>
          </cell>
          <cell r="B116">
            <v>47.5</v>
          </cell>
          <cell r="C116">
            <v>23.75</v>
          </cell>
          <cell r="D116">
            <v>7.916666666666667</v>
          </cell>
          <cell r="E116">
            <v>6586122.9892745456</v>
          </cell>
        </row>
        <row r="117">
          <cell r="A117">
            <v>96</v>
          </cell>
          <cell r="B117">
            <v>48</v>
          </cell>
          <cell r="C117">
            <v>24</v>
          </cell>
          <cell r="D117">
            <v>8</v>
          </cell>
          <cell r="E117">
            <v>6551665.5857099704</v>
          </cell>
        </row>
        <row r="118">
          <cell r="A118">
            <v>97</v>
          </cell>
          <cell r="B118">
            <v>48.5</v>
          </cell>
          <cell r="C118">
            <v>24.25</v>
          </cell>
          <cell r="D118">
            <v>8.0833333333333339</v>
          </cell>
          <cell r="E118">
            <v>6517236.2617113953</v>
          </cell>
        </row>
        <row r="119">
          <cell r="A119">
            <v>98</v>
          </cell>
          <cell r="B119">
            <v>49</v>
          </cell>
          <cell r="C119">
            <v>24.5</v>
          </cell>
          <cell r="D119">
            <v>8.1666666666666661</v>
          </cell>
          <cell r="E119">
            <v>6482834.9356549559</v>
          </cell>
        </row>
        <row r="120">
          <cell r="A120">
            <v>99</v>
          </cell>
          <cell r="B120">
            <v>49.5</v>
          </cell>
          <cell r="C120">
            <v>24.75</v>
          </cell>
          <cell r="D120">
            <v>8.25</v>
          </cell>
          <cell r="E120">
            <v>6448461.5260085026</v>
          </cell>
        </row>
        <row r="121">
          <cell r="A121">
            <v>100</v>
          </cell>
          <cell r="B121">
            <v>50</v>
          </cell>
          <cell r="C121">
            <v>25</v>
          </cell>
          <cell r="D121">
            <v>8.3333333333333339</v>
          </cell>
          <cell r="E121">
            <v>6414115.9513313938</v>
          </cell>
        </row>
        <row r="122">
          <cell r="A122">
            <v>101</v>
          </cell>
          <cell r="B122">
            <v>50.5</v>
          </cell>
          <cell r="C122">
            <v>25.25</v>
          </cell>
          <cell r="D122">
            <v>8.4166666666666661</v>
          </cell>
          <cell r="E122">
            <v>6379798.1302742912</v>
          </cell>
        </row>
        <row r="123">
          <cell r="A123">
            <v>102</v>
          </cell>
          <cell r="B123">
            <v>51</v>
          </cell>
          <cell r="C123">
            <v>25.5</v>
          </cell>
          <cell r="D123">
            <v>8.5</v>
          </cell>
          <cell r="E123">
            <v>6345507.9815789592</v>
          </cell>
        </row>
        <row r="124">
          <cell r="A124">
            <v>103</v>
          </cell>
          <cell r="B124">
            <v>51.5</v>
          </cell>
          <cell r="C124">
            <v>25.75</v>
          </cell>
          <cell r="D124">
            <v>8.5833333333333339</v>
          </cell>
          <cell r="E124">
            <v>6311245.4240780603</v>
          </cell>
        </row>
        <row r="125">
          <cell r="A125">
            <v>104</v>
          </cell>
          <cell r="B125">
            <v>52</v>
          </cell>
          <cell r="C125">
            <v>26</v>
          </cell>
          <cell r="D125">
            <v>8.6666666666666661</v>
          </cell>
          <cell r="E125">
            <v>6277010.3766949503</v>
          </cell>
        </row>
        <row r="126">
          <cell r="A126">
            <v>105</v>
          </cell>
          <cell r="B126">
            <v>52.5</v>
          </cell>
          <cell r="C126">
            <v>26.25</v>
          </cell>
          <cell r="D126">
            <v>8.75</v>
          </cell>
          <cell r="E126">
            <v>6242802.7584434766</v>
          </cell>
        </row>
        <row r="127">
          <cell r="A127">
            <v>106</v>
          </cell>
          <cell r="B127">
            <v>53</v>
          </cell>
          <cell r="C127">
            <v>26.5</v>
          </cell>
          <cell r="D127">
            <v>8.8333333333333339</v>
          </cell>
          <cell r="E127">
            <v>6208622.4884277759</v>
          </cell>
        </row>
        <row r="128">
          <cell r="A128">
            <v>107</v>
          </cell>
          <cell r="B128">
            <v>53.5</v>
          </cell>
          <cell r="C128">
            <v>26.75</v>
          </cell>
          <cell r="D128">
            <v>8.9166666666666661</v>
          </cell>
          <cell r="E128">
            <v>6174469.4858420743</v>
          </cell>
        </row>
        <row r="129">
          <cell r="A129">
            <v>108</v>
          </cell>
          <cell r="B129">
            <v>54</v>
          </cell>
          <cell r="C129">
            <v>27</v>
          </cell>
          <cell r="D129">
            <v>9</v>
          </cell>
          <cell r="E129">
            <v>6140343.6699704798</v>
          </cell>
        </row>
        <row r="130">
          <cell r="A130">
            <v>109</v>
          </cell>
          <cell r="B130">
            <v>54.5</v>
          </cell>
          <cell r="C130">
            <v>27.25</v>
          </cell>
          <cell r="D130">
            <v>9.0833333333333339</v>
          </cell>
          <cell r="E130">
            <v>6106244.960186786</v>
          </cell>
        </row>
        <row r="131">
          <cell r="A131">
            <v>110</v>
          </cell>
          <cell r="B131">
            <v>55</v>
          </cell>
          <cell r="C131">
            <v>27.5</v>
          </cell>
          <cell r="D131">
            <v>9.1666666666666661</v>
          </cell>
          <cell r="E131">
            <v>6072173.275954267</v>
          </cell>
        </row>
        <row r="132">
          <cell r="A132">
            <v>111</v>
          </cell>
          <cell r="B132">
            <v>55.5</v>
          </cell>
          <cell r="C132">
            <v>27.75</v>
          </cell>
          <cell r="D132">
            <v>9.25</v>
          </cell>
          <cell r="E132">
            <v>6038128.536825479</v>
          </cell>
        </row>
        <row r="133">
          <cell r="A133">
            <v>112</v>
          </cell>
          <cell r="B133">
            <v>56</v>
          </cell>
          <cell r="C133">
            <v>28</v>
          </cell>
          <cell r="D133">
            <v>9.3333333333333339</v>
          </cell>
          <cell r="E133">
            <v>6004110.6624420555</v>
          </cell>
        </row>
        <row r="134">
          <cell r="A134">
            <v>113</v>
          </cell>
          <cell r="B134">
            <v>56.5</v>
          </cell>
          <cell r="C134">
            <v>28.25</v>
          </cell>
          <cell r="D134">
            <v>9.4166666666666661</v>
          </cell>
          <cell r="E134">
            <v>5970119.5725345127</v>
          </cell>
        </row>
        <row r="135">
          <cell r="A135">
            <v>114</v>
          </cell>
          <cell r="B135">
            <v>57</v>
          </cell>
          <cell r="C135">
            <v>28.5</v>
          </cell>
          <cell r="D135">
            <v>9.5</v>
          </cell>
          <cell r="E135">
            <v>5936155.1869220426</v>
          </cell>
        </row>
        <row r="136">
          <cell r="A136">
            <v>115</v>
          </cell>
          <cell r="B136">
            <v>57.5</v>
          </cell>
          <cell r="C136">
            <v>28.75</v>
          </cell>
          <cell r="D136">
            <v>9.5833333333333339</v>
          </cell>
          <cell r="E136">
            <v>5902217.4255123157</v>
          </cell>
        </row>
        <row r="137">
          <cell r="A137">
            <v>116</v>
          </cell>
          <cell r="B137">
            <v>58</v>
          </cell>
          <cell r="C137">
            <v>29</v>
          </cell>
          <cell r="D137">
            <v>9.6666666666666661</v>
          </cell>
          <cell r="E137">
            <v>5868306.2083012834</v>
          </cell>
        </row>
        <row r="138">
          <cell r="A138">
            <v>117</v>
          </cell>
          <cell r="B138">
            <v>58.5</v>
          </cell>
          <cell r="C138">
            <v>29.25</v>
          </cell>
          <cell r="D138">
            <v>9.75</v>
          </cell>
          <cell r="E138">
            <v>5834421.4553729743</v>
          </cell>
        </row>
        <row r="139">
          <cell r="A139">
            <v>118</v>
          </cell>
          <cell r="B139">
            <v>59</v>
          </cell>
          <cell r="C139">
            <v>29.5</v>
          </cell>
          <cell r="D139">
            <v>9.8333333333333339</v>
          </cell>
          <cell r="E139">
            <v>5800563.0868992973</v>
          </cell>
        </row>
        <row r="140">
          <cell r="A140">
            <v>119</v>
          </cell>
          <cell r="B140">
            <v>59.5</v>
          </cell>
          <cell r="C140">
            <v>29.75</v>
          </cell>
          <cell r="D140">
            <v>9.9166666666666661</v>
          </cell>
          <cell r="E140">
            <v>5766731.0231398428</v>
          </cell>
        </row>
        <row r="141">
          <cell r="A141">
            <v>120</v>
          </cell>
          <cell r="B141">
            <v>60</v>
          </cell>
          <cell r="C141">
            <v>30</v>
          </cell>
          <cell r="D141">
            <v>10</v>
          </cell>
          <cell r="E141">
            <v>5732925.184441682</v>
          </cell>
        </row>
        <row r="142">
          <cell r="A142">
            <v>121</v>
          </cell>
          <cell r="B142">
            <v>60.5</v>
          </cell>
          <cell r="C142">
            <v>30.25</v>
          </cell>
          <cell r="D142">
            <v>10.083333333333334</v>
          </cell>
          <cell r="E142">
            <v>5699145.4912391705</v>
          </cell>
        </row>
        <row r="143">
          <cell r="A143">
            <v>122</v>
          </cell>
          <cell r="B143">
            <v>61</v>
          </cell>
          <cell r="C143">
            <v>30.5</v>
          </cell>
          <cell r="D143">
            <v>10.166666666666666</v>
          </cell>
          <cell r="E143">
            <v>5665391.8640537476</v>
          </cell>
        </row>
        <row r="144">
          <cell r="A144">
            <v>123</v>
          </cell>
          <cell r="B144">
            <v>61.5</v>
          </cell>
          <cell r="C144">
            <v>30.75</v>
          </cell>
          <cell r="D144">
            <v>10.25</v>
          </cell>
          <cell r="E144">
            <v>5631664.2234937418</v>
          </cell>
        </row>
        <row r="145">
          <cell r="A145">
            <v>124</v>
          </cell>
          <cell r="B145">
            <v>62</v>
          </cell>
          <cell r="C145">
            <v>31</v>
          </cell>
          <cell r="D145">
            <v>10.333333333333334</v>
          </cell>
          <cell r="E145">
            <v>5597962.4902541693</v>
          </cell>
        </row>
        <row r="146">
          <cell r="A146">
            <v>125</v>
          </cell>
          <cell r="B146">
            <v>62.5</v>
          </cell>
          <cell r="C146">
            <v>31.25</v>
          </cell>
          <cell r="D146">
            <v>10.416666666666666</v>
          </cell>
          <cell r="E146">
            <v>5564286.5851165382</v>
          </cell>
        </row>
        <row r="147">
          <cell r="A147">
            <v>126</v>
          </cell>
          <cell r="B147">
            <v>63</v>
          </cell>
          <cell r="C147">
            <v>31.5</v>
          </cell>
          <cell r="D147">
            <v>10.5</v>
          </cell>
          <cell r="E147">
            <v>5530636.4289486511</v>
          </cell>
        </row>
        <row r="148">
          <cell r="A148">
            <v>127</v>
          </cell>
          <cell r="B148">
            <v>63.5</v>
          </cell>
          <cell r="C148">
            <v>31.75</v>
          </cell>
          <cell r="D148">
            <v>10.583333333333334</v>
          </cell>
          <cell r="E148">
            <v>5497011.9427044094</v>
          </cell>
        </row>
        <row r="149">
          <cell r="A149">
            <v>128</v>
          </cell>
          <cell r="B149">
            <v>64</v>
          </cell>
          <cell r="C149">
            <v>32</v>
          </cell>
          <cell r="D149">
            <v>10.666666666666666</v>
          </cell>
          <cell r="E149">
            <v>5463413.0474236133</v>
          </cell>
        </row>
        <row r="150">
          <cell r="A150">
            <v>129</v>
          </cell>
          <cell r="B150">
            <v>64.5</v>
          </cell>
          <cell r="C150">
            <v>32.25</v>
          </cell>
          <cell r="D150">
            <v>10.75</v>
          </cell>
          <cell r="E150">
            <v>5429839.6642317697</v>
          </cell>
        </row>
        <row r="151">
          <cell r="A151">
            <v>130</v>
          </cell>
          <cell r="B151">
            <v>65</v>
          </cell>
          <cell r="C151">
            <v>32.5</v>
          </cell>
          <cell r="D151">
            <v>10.833333333333334</v>
          </cell>
          <cell r="E151">
            <v>5396291.7143398924</v>
          </cell>
        </row>
        <row r="152">
          <cell r="A152">
            <v>131</v>
          </cell>
          <cell r="B152">
            <v>65.5</v>
          </cell>
          <cell r="C152">
            <v>32.75</v>
          </cell>
          <cell r="D152">
            <v>10.916666666666666</v>
          </cell>
          <cell r="E152">
            <v>5362769.1190443076</v>
          </cell>
        </row>
        <row r="153">
          <cell r="A153">
            <v>132</v>
          </cell>
          <cell r="B153">
            <v>66</v>
          </cell>
          <cell r="C153">
            <v>33</v>
          </cell>
          <cell r="D153">
            <v>11</v>
          </cell>
          <cell r="E153">
            <v>5329271.7997264592</v>
          </cell>
        </row>
        <row r="154">
          <cell r="A154">
            <v>133</v>
          </cell>
          <cell r="B154">
            <v>66.5</v>
          </cell>
          <cell r="C154">
            <v>33.25</v>
          </cell>
          <cell r="D154">
            <v>11.083333333333334</v>
          </cell>
          <cell r="E154">
            <v>5295799.6778527098</v>
          </cell>
        </row>
        <row r="155">
          <cell r="A155">
            <v>134</v>
          </cell>
          <cell r="B155">
            <v>67</v>
          </cell>
          <cell r="C155">
            <v>33.5</v>
          </cell>
          <cell r="D155">
            <v>11.166666666666666</v>
          </cell>
          <cell r="E155">
            <v>5262352.67497415</v>
          </cell>
        </row>
        <row r="156">
          <cell r="A156">
            <v>135</v>
          </cell>
          <cell r="B156">
            <v>67.5</v>
          </cell>
          <cell r="C156">
            <v>33.75</v>
          </cell>
          <cell r="D156">
            <v>11.25</v>
          </cell>
          <cell r="E156">
            <v>5228930.7127264002</v>
          </cell>
        </row>
        <row r="157">
          <cell r="A157">
            <v>136</v>
          </cell>
          <cell r="B157">
            <v>68</v>
          </cell>
          <cell r="C157">
            <v>34</v>
          </cell>
          <cell r="D157">
            <v>11.333333333333334</v>
          </cell>
          <cell r="E157">
            <v>5195533.7128294185</v>
          </cell>
        </row>
        <row r="158">
          <cell r="A158">
            <v>137</v>
          </cell>
          <cell r="B158">
            <v>68.5</v>
          </cell>
          <cell r="C158">
            <v>34.25</v>
          </cell>
          <cell r="D158">
            <v>11.416666666666666</v>
          </cell>
          <cell r="E158">
            <v>5162161.5970873032</v>
          </cell>
        </row>
        <row r="159">
          <cell r="A159">
            <v>138</v>
          </cell>
          <cell r="B159">
            <v>69</v>
          </cell>
          <cell r="C159">
            <v>34.5</v>
          </cell>
          <cell r="D159">
            <v>11.5</v>
          </cell>
          <cell r="E159">
            <v>5128814.2873881022</v>
          </cell>
        </row>
        <row r="160">
          <cell r="A160">
            <v>139</v>
          </cell>
          <cell r="B160">
            <v>69.5</v>
          </cell>
          <cell r="C160">
            <v>34.75</v>
          </cell>
          <cell r="D160">
            <v>11.583333333333334</v>
          </cell>
          <cell r="E160">
            <v>5095491.7057036161</v>
          </cell>
        </row>
        <row r="161">
          <cell r="A161">
            <v>140</v>
          </cell>
          <cell r="B161">
            <v>70</v>
          </cell>
          <cell r="C161">
            <v>35</v>
          </cell>
          <cell r="D161">
            <v>11.666666666666666</v>
          </cell>
          <cell r="E161">
            <v>5062193.7740892051</v>
          </cell>
        </row>
        <row r="162">
          <cell r="A162">
            <v>141</v>
          </cell>
          <cell r="B162">
            <v>70.5</v>
          </cell>
          <cell r="C162">
            <v>35.25</v>
          </cell>
          <cell r="D162">
            <v>11.75</v>
          </cell>
          <cell r="E162">
            <v>5028920.414683599</v>
          </cell>
        </row>
        <row r="163">
          <cell r="A163">
            <v>142</v>
          </cell>
          <cell r="B163">
            <v>71</v>
          </cell>
          <cell r="C163">
            <v>35.5</v>
          </cell>
          <cell r="D163">
            <v>11.833333333333334</v>
          </cell>
          <cell r="E163">
            <v>4995671.5497086979</v>
          </cell>
        </row>
        <row r="164">
          <cell r="A164">
            <v>143</v>
          </cell>
          <cell r="B164">
            <v>71.5</v>
          </cell>
          <cell r="C164">
            <v>35.75</v>
          </cell>
          <cell r="D164">
            <v>11.916666666666666</v>
          </cell>
          <cell r="E164">
            <v>4962447.1014693845</v>
          </cell>
        </row>
        <row r="165">
          <cell r="A165">
            <v>144</v>
          </cell>
          <cell r="B165">
            <v>72</v>
          </cell>
          <cell r="C165">
            <v>36</v>
          </cell>
          <cell r="D165">
            <v>12</v>
          </cell>
          <cell r="E165">
            <v>4929246.9923533294</v>
          </cell>
        </row>
        <row r="166">
          <cell r="A166">
            <v>145</v>
          </cell>
          <cell r="B166">
            <v>72.5</v>
          </cell>
          <cell r="C166">
            <v>36.25</v>
          </cell>
          <cell r="D166">
            <v>12.083333333333334</v>
          </cell>
          <cell r="E166">
            <v>4896071.1448307987</v>
          </cell>
        </row>
        <row r="167">
          <cell r="A167">
            <v>146</v>
          </cell>
          <cell r="B167">
            <v>73</v>
          </cell>
          <cell r="C167">
            <v>36.5</v>
          </cell>
          <cell r="D167">
            <v>12.166666666666666</v>
          </cell>
          <cell r="E167">
            <v>4862919.4814544618</v>
          </cell>
        </row>
        <row r="168">
          <cell r="A168">
            <v>147</v>
          </cell>
          <cell r="B168">
            <v>73.5</v>
          </cell>
          <cell r="C168">
            <v>36.75</v>
          </cell>
          <cell r="D168">
            <v>12.25</v>
          </cell>
          <cell r="E168">
            <v>4829791.9248592006</v>
          </cell>
        </row>
        <row r="169">
          <cell r="A169">
            <v>148</v>
          </cell>
          <cell r="B169">
            <v>74</v>
          </cell>
          <cell r="C169">
            <v>37</v>
          </cell>
          <cell r="D169">
            <v>12.333333333333334</v>
          </cell>
          <cell r="E169">
            <v>4796688.3977619158</v>
          </cell>
        </row>
        <row r="170">
          <cell r="A170">
            <v>149</v>
          </cell>
          <cell r="B170">
            <v>74.5</v>
          </cell>
          <cell r="C170">
            <v>37.25</v>
          </cell>
          <cell r="D170">
            <v>12.416666666666666</v>
          </cell>
          <cell r="E170">
            <v>4763608.8229613379</v>
          </cell>
        </row>
        <row r="171">
          <cell r="A171">
            <v>150</v>
          </cell>
          <cell r="B171">
            <v>75</v>
          </cell>
          <cell r="C171">
            <v>37.5</v>
          </cell>
          <cell r="D171">
            <v>12.5</v>
          </cell>
          <cell r="E171">
            <v>4730553.1233378341</v>
          </cell>
        </row>
        <row r="172">
          <cell r="A172">
            <v>151</v>
          </cell>
          <cell r="B172">
            <v>75.5</v>
          </cell>
          <cell r="C172">
            <v>37.75</v>
          </cell>
          <cell r="D172">
            <v>12.583333333333334</v>
          </cell>
          <cell r="E172">
            <v>4697521.221853218</v>
          </cell>
        </row>
        <row r="173">
          <cell r="A173">
            <v>152</v>
          </cell>
          <cell r="B173">
            <v>76</v>
          </cell>
          <cell r="C173">
            <v>38</v>
          </cell>
          <cell r="D173">
            <v>12.666666666666666</v>
          </cell>
          <cell r="E173">
            <v>4664513.0415505609</v>
          </cell>
        </row>
        <row r="174">
          <cell r="A174">
            <v>153</v>
          </cell>
          <cell r="B174">
            <v>76.5</v>
          </cell>
          <cell r="C174">
            <v>38.25</v>
          </cell>
          <cell r="D174">
            <v>12.75</v>
          </cell>
          <cell r="E174">
            <v>4631528.5055539962</v>
          </cell>
        </row>
        <row r="175">
          <cell r="A175">
            <v>154</v>
          </cell>
          <cell r="B175">
            <v>77</v>
          </cell>
          <cell r="C175">
            <v>38.5</v>
          </cell>
          <cell r="D175">
            <v>12.833333333333334</v>
          </cell>
          <cell r="E175">
            <v>4598567.5370685346</v>
          </cell>
        </row>
        <row r="176">
          <cell r="A176">
            <v>155</v>
          </cell>
          <cell r="B176">
            <v>77.5</v>
          </cell>
          <cell r="C176">
            <v>38.75</v>
          </cell>
          <cell r="D176">
            <v>12.916666666666666</v>
          </cell>
          <cell r="E176">
            <v>4565630.0593798729</v>
          </cell>
        </row>
        <row r="177">
          <cell r="A177">
            <v>156</v>
          </cell>
          <cell r="B177">
            <v>78</v>
          </cell>
          <cell r="C177">
            <v>39</v>
          </cell>
          <cell r="D177">
            <v>13</v>
          </cell>
          <cell r="E177">
            <v>4532715.9958542036</v>
          </cell>
        </row>
        <row r="178">
          <cell r="A178">
            <v>157</v>
          </cell>
          <cell r="B178">
            <v>78.5</v>
          </cell>
          <cell r="C178">
            <v>39.25</v>
          </cell>
          <cell r="D178">
            <v>13.083333333333334</v>
          </cell>
          <cell r="E178">
            <v>4499825.2699380228</v>
          </cell>
        </row>
        <row r="179">
          <cell r="A179">
            <v>158</v>
          </cell>
          <cell r="B179">
            <v>79</v>
          </cell>
          <cell r="C179">
            <v>39.5</v>
          </cell>
          <cell r="D179">
            <v>13.166666666666666</v>
          </cell>
          <cell r="E179">
            <v>4466957.8051579464</v>
          </cell>
        </row>
        <row r="180">
          <cell r="A180">
            <v>159</v>
          </cell>
          <cell r="B180">
            <v>79.5</v>
          </cell>
          <cell r="C180">
            <v>39.75</v>
          </cell>
          <cell r="D180">
            <v>13.25</v>
          </cell>
          <cell r="E180">
            <v>4434113.5251205163</v>
          </cell>
        </row>
        <row r="181">
          <cell r="A181">
            <v>160</v>
          </cell>
          <cell r="B181">
            <v>80</v>
          </cell>
          <cell r="C181">
            <v>40</v>
          </cell>
          <cell r="D181">
            <v>13.333333333333334</v>
          </cell>
          <cell r="E181">
            <v>4401292.3535120152</v>
          </cell>
        </row>
        <row r="182">
          <cell r="A182">
            <v>161</v>
          </cell>
          <cell r="B182">
            <v>80.5</v>
          </cell>
          <cell r="C182">
            <v>40.25</v>
          </cell>
          <cell r="D182">
            <v>13.416666666666666</v>
          </cell>
          <cell r="E182">
            <v>4368494.2140982756</v>
          </cell>
        </row>
        <row r="183">
          <cell r="A183">
            <v>162</v>
          </cell>
          <cell r="B183">
            <v>81</v>
          </cell>
          <cell r="C183">
            <v>40.5</v>
          </cell>
          <cell r="D183">
            <v>13.5</v>
          </cell>
          <cell r="E183">
            <v>4335719.0307244956</v>
          </cell>
        </row>
        <row r="184">
          <cell r="A184">
            <v>163</v>
          </cell>
          <cell r="B184">
            <v>81.5</v>
          </cell>
          <cell r="C184">
            <v>40.75</v>
          </cell>
          <cell r="D184">
            <v>13.583333333333334</v>
          </cell>
          <cell r="E184">
            <v>4302966.727315044</v>
          </cell>
        </row>
        <row r="185">
          <cell r="A185">
            <v>164</v>
          </cell>
          <cell r="B185">
            <v>82</v>
          </cell>
          <cell r="C185">
            <v>41</v>
          </cell>
          <cell r="D185">
            <v>13.666666666666666</v>
          </cell>
          <cell r="E185">
            <v>4270237.2278732797</v>
          </cell>
        </row>
        <row r="186">
          <cell r="A186">
            <v>165</v>
          </cell>
          <cell r="B186">
            <v>82.5</v>
          </cell>
          <cell r="C186">
            <v>41.25</v>
          </cell>
          <cell r="D186">
            <v>13.75</v>
          </cell>
          <cell r="E186">
            <v>4237530.456481359</v>
          </cell>
        </row>
        <row r="187">
          <cell r="A187">
            <v>166</v>
          </cell>
          <cell r="B187">
            <v>83</v>
          </cell>
          <cell r="C187">
            <v>41.5</v>
          </cell>
          <cell r="D187">
            <v>13.833333333333334</v>
          </cell>
          <cell r="E187">
            <v>4204846.3373000519</v>
          </cell>
        </row>
        <row r="188">
          <cell r="A188">
            <v>167</v>
          </cell>
          <cell r="B188">
            <v>83.5</v>
          </cell>
          <cell r="C188">
            <v>41.75</v>
          </cell>
          <cell r="D188">
            <v>13.916666666666666</v>
          </cell>
          <cell r="E188">
            <v>4172184.7945685531</v>
          </cell>
        </row>
        <row r="189">
          <cell r="A189">
            <v>168</v>
          </cell>
          <cell r="B189">
            <v>84</v>
          </cell>
          <cell r="C189">
            <v>42</v>
          </cell>
          <cell r="D189">
            <v>14</v>
          </cell>
          <cell r="E189">
            <v>4139545.7526042955</v>
          </cell>
        </row>
        <row r="190">
          <cell r="A190">
            <v>169</v>
          </cell>
          <cell r="B190">
            <v>84.5</v>
          </cell>
          <cell r="C190">
            <v>42.25</v>
          </cell>
          <cell r="D190">
            <v>14.083333333333334</v>
          </cell>
          <cell r="E190">
            <v>4106929.1358027635</v>
          </cell>
        </row>
        <row r="191">
          <cell r="A191">
            <v>170</v>
          </cell>
          <cell r="B191">
            <v>85</v>
          </cell>
          <cell r="C191">
            <v>42.5</v>
          </cell>
          <cell r="D191">
            <v>14.166666666666666</v>
          </cell>
          <cell r="E191">
            <v>4074334.8686373085</v>
          </cell>
        </row>
        <row r="192">
          <cell r="A192">
            <v>171</v>
          </cell>
          <cell r="B192">
            <v>85.5</v>
          </cell>
          <cell r="C192">
            <v>42.75</v>
          </cell>
          <cell r="D192">
            <v>14.25</v>
          </cell>
          <cell r="E192">
            <v>4041762.8756589601</v>
          </cell>
        </row>
        <row r="193">
          <cell r="A193">
            <v>172</v>
          </cell>
          <cell r="B193">
            <v>86</v>
          </cell>
          <cell r="C193">
            <v>43</v>
          </cell>
          <cell r="D193">
            <v>14.333333333333334</v>
          </cell>
          <cell r="E193">
            <v>4009213.081496242</v>
          </cell>
        </row>
        <row r="194">
          <cell r="A194">
            <v>173</v>
          </cell>
          <cell r="B194">
            <v>86.5</v>
          </cell>
          <cell r="C194">
            <v>43.25</v>
          </cell>
          <cell r="D194">
            <v>14.416666666666666</v>
          </cell>
          <cell r="E194">
            <v>3976685.4108549859</v>
          </cell>
        </row>
        <row r="195">
          <cell r="A195">
            <v>174</v>
          </cell>
          <cell r="B195">
            <v>87</v>
          </cell>
          <cell r="C195">
            <v>43.5</v>
          </cell>
          <cell r="D195">
            <v>14.5</v>
          </cell>
          <cell r="E195">
            <v>3944179.7885181466</v>
          </cell>
        </row>
        <row r="196">
          <cell r="A196">
            <v>175</v>
          </cell>
          <cell r="B196">
            <v>87.5</v>
          </cell>
          <cell r="C196">
            <v>43.75</v>
          </cell>
          <cell r="D196">
            <v>14.583333333333334</v>
          </cell>
          <cell r="E196">
            <v>3911696.1393456161</v>
          </cell>
        </row>
        <row r="197">
          <cell r="A197">
            <v>176</v>
          </cell>
          <cell r="B197">
            <v>88</v>
          </cell>
          <cell r="C197">
            <v>44</v>
          </cell>
          <cell r="D197">
            <v>14.666666666666666</v>
          </cell>
          <cell r="E197">
            <v>3879234.3882740396</v>
          </cell>
        </row>
        <row r="198">
          <cell r="A198">
            <v>177</v>
          </cell>
          <cell r="B198">
            <v>88.5</v>
          </cell>
          <cell r="C198">
            <v>44.25</v>
          </cell>
          <cell r="D198">
            <v>14.75</v>
          </cell>
          <cell r="E198">
            <v>3846794.4603166296</v>
          </cell>
        </row>
        <row r="199">
          <cell r="A199">
            <v>178</v>
          </cell>
          <cell r="B199">
            <v>89</v>
          </cell>
          <cell r="C199">
            <v>44.5</v>
          </cell>
          <cell r="D199">
            <v>14.833333333333334</v>
          </cell>
          <cell r="E199">
            <v>3814376.2805629834</v>
          </cell>
        </row>
        <row r="200">
          <cell r="A200">
            <v>179</v>
          </cell>
          <cell r="B200">
            <v>89.5</v>
          </cell>
          <cell r="C200">
            <v>44.75</v>
          </cell>
          <cell r="D200">
            <v>14.916666666666666</v>
          </cell>
          <cell r="E200">
            <v>3781979.7741788961</v>
          </cell>
        </row>
        <row r="201">
          <cell r="A201">
            <v>180</v>
          </cell>
          <cell r="B201">
            <v>90</v>
          </cell>
          <cell r="C201">
            <v>45</v>
          </cell>
          <cell r="D201">
            <v>15</v>
          </cell>
          <cell r="E201">
            <v>3749604.86640618</v>
          </cell>
        </row>
        <row r="202">
          <cell r="A202">
            <v>181</v>
          </cell>
          <cell r="B202">
            <v>90.5</v>
          </cell>
          <cell r="C202">
            <v>45.25</v>
          </cell>
          <cell r="D202">
            <v>15.083333333333334</v>
          </cell>
          <cell r="E202">
            <v>3717251.4825624782</v>
          </cell>
        </row>
        <row r="203">
          <cell r="A203">
            <v>182</v>
          </cell>
          <cell r="B203">
            <v>91</v>
          </cell>
          <cell r="C203">
            <v>45.5</v>
          </cell>
          <cell r="D203">
            <v>15.166666666666666</v>
          </cell>
          <cell r="E203">
            <v>3684919.5480410825</v>
          </cell>
        </row>
        <row r="204">
          <cell r="A204">
            <v>183</v>
          </cell>
          <cell r="B204">
            <v>91.5</v>
          </cell>
          <cell r="C204">
            <v>45.75</v>
          </cell>
          <cell r="D204">
            <v>15.25</v>
          </cell>
          <cell r="E204">
            <v>3652608.9883107492</v>
          </cell>
        </row>
        <row r="205">
          <cell r="A205">
            <v>184</v>
          </cell>
          <cell r="B205">
            <v>92</v>
          </cell>
          <cell r="C205">
            <v>46</v>
          </cell>
          <cell r="D205">
            <v>15.333333333333334</v>
          </cell>
          <cell r="E205">
            <v>3620319.7289155177</v>
          </cell>
        </row>
        <row r="206">
          <cell r="A206">
            <v>185</v>
          </cell>
          <cell r="B206">
            <v>92.5</v>
          </cell>
          <cell r="C206">
            <v>46.25</v>
          </cell>
          <cell r="D206">
            <v>15.416666666666666</v>
          </cell>
          <cell r="E206">
            <v>3588051.6954745259</v>
          </cell>
        </row>
        <row r="207">
          <cell r="A207">
            <v>186</v>
          </cell>
          <cell r="B207">
            <v>93</v>
          </cell>
          <cell r="C207">
            <v>46.5</v>
          </cell>
          <cell r="D207">
            <v>15.5</v>
          </cell>
          <cell r="E207">
            <v>3555804.8136818288</v>
          </cell>
        </row>
        <row r="208">
          <cell r="A208">
            <v>187</v>
          </cell>
          <cell r="B208">
            <v>93.5</v>
          </cell>
          <cell r="C208">
            <v>46.75</v>
          </cell>
          <cell r="D208">
            <v>15.583333333333334</v>
          </cell>
          <cell r="E208">
            <v>3523579.0093062152</v>
          </cell>
        </row>
        <row r="209">
          <cell r="A209">
            <v>188</v>
          </cell>
          <cell r="B209">
            <v>94</v>
          </cell>
          <cell r="C209">
            <v>47</v>
          </cell>
          <cell r="D209">
            <v>15.666666666666666</v>
          </cell>
          <cell r="E209">
            <v>3491374.2081910265</v>
          </cell>
        </row>
        <row r="210">
          <cell r="A210">
            <v>189</v>
          </cell>
          <cell r="B210">
            <v>94.5</v>
          </cell>
          <cell r="C210">
            <v>47.25</v>
          </cell>
          <cell r="D210">
            <v>15.75</v>
          </cell>
          <cell r="E210">
            <v>3459190.3362539746</v>
          </cell>
        </row>
        <row r="211">
          <cell r="A211">
            <v>190</v>
          </cell>
          <cell r="B211">
            <v>95</v>
          </cell>
          <cell r="C211">
            <v>47.5</v>
          </cell>
          <cell r="D211">
            <v>15.833333333333334</v>
          </cell>
          <cell r="E211">
            <v>3427027.3194869594</v>
          </cell>
        </row>
        <row r="212">
          <cell r="A212">
            <v>191</v>
          </cell>
          <cell r="B212">
            <v>95.5</v>
          </cell>
          <cell r="C212">
            <v>47.75</v>
          </cell>
          <cell r="D212">
            <v>15.916666666666666</v>
          </cell>
          <cell r="E212">
            <v>3394885.0839558896</v>
          </cell>
        </row>
        <row r="213">
          <cell r="A213">
            <v>192</v>
          </cell>
          <cell r="B213">
            <v>96</v>
          </cell>
          <cell r="C213">
            <v>48</v>
          </cell>
          <cell r="D213">
            <v>16</v>
          </cell>
          <cell r="E213">
            <v>3362763.5558004985</v>
          </cell>
        </row>
        <row r="214">
          <cell r="A214">
            <v>193</v>
          </cell>
          <cell r="B214">
            <v>96.5</v>
          </cell>
          <cell r="C214">
            <v>48.25</v>
          </cell>
          <cell r="D214">
            <v>16.083333333333332</v>
          </cell>
          <cell r="E214">
            <v>3330662.6612341655</v>
          </cell>
        </row>
        <row r="215">
          <cell r="A215">
            <v>194</v>
          </cell>
          <cell r="B215">
            <v>97</v>
          </cell>
          <cell r="C215">
            <v>48.5</v>
          </cell>
          <cell r="D215">
            <v>16.166666666666668</v>
          </cell>
          <cell r="E215">
            <v>3298582.3265437344</v>
          </cell>
        </row>
        <row r="216">
          <cell r="A216">
            <v>195</v>
          </cell>
          <cell r="B216">
            <v>97.5</v>
          </cell>
          <cell r="C216">
            <v>48.75</v>
          </cell>
          <cell r="D216">
            <v>16.25</v>
          </cell>
          <cell r="E216">
            <v>3266522.4780893321</v>
          </cell>
        </row>
        <row r="217">
          <cell r="A217">
            <v>196</v>
          </cell>
          <cell r="B217">
            <v>98</v>
          </cell>
          <cell r="C217">
            <v>49</v>
          </cell>
          <cell r="D217">
            <v>16.333333333333332</v>
          </cell>
          <cell r="E217">
            <v>3234483.0423041899</v>
          </cell>
        </row>
        <row r="218">
          <cell r="A218">
            <v>197</v>
          </cell>
          <cell r="B218">
            <v>98.5</v>
          </cell>
          <cell r="C218">
            <v>49.25</v>
          </cell>
          <cell r="D218">
            <v>16.416666666666668</v>
          </cell>
          <cell r="E218">
            <v>3202463.9456944629</v>
          </cell>
        </row>
        <row r="219">
          <cell r="A219">
            <v>198</v>
          </cell>
          <cell r="B219">
            <v>99</v>
          </cell>
          <cell r="C219">
            <v>49.5</v>
          </cell>
          <cell r="D219">
            <v>16.5</v>
          </cell>
          <cell r="E219">
            <v>3170465.1148390486</v>
          </cell>
        </row>
        <row r="220">
          <cell r="A220">
            <v>199</v>
          </cell>
          <cell r="B220">
            <v>99.5</v>
          </cell>
          <cell r="C220">
            <v>49.75</v>
          </cell>
          <cell r="D220">
            <v>16.583333333333332</v>
          </cell>
          <cell r="E220">
            <v>3138486.4763894109</v>
          </cell>
        </row>
        <row r="221">
          <cell r="A221">
            <v>200</v>
          </cell>
          <cell r="B221">
            <v>100</v>
          </cell>
          <cell r="C221">
            <v>50</v>
          </cell>
          <cell r="D221">
            <v>16.666666666666668</v>
          </cell>
          <cell r="E221">
            <v>3106527.957069396</v>
          </cell>
        </row>
        <row r="222">
          <cell r="A222">
            <v>201</v>
          </cell>
          <cell r="B222">
            <v>100.5</v>
          </cell>
          <cell r="C222">
            <v>50.25</v>
          </cell>
          <cell r="D222">
            <v>16.75</v>
          </cell>
          <cell r="E222">
            <v>3074589.483675058</v>
          </cell>
        </row>
        <row r="223">
          <cell r="A223">
            <v>202</v>
          </cell>
          <cell r="B223">
            <v>101</v>
          </cell>
          <cell r="C223">
            <v>50.5</v>
          </cell>
          <cell r="D223">
            <v>16.833333333333332</v>
          </cell>
          <cell r="E223">
            <v>3042670.9830744755</v>
          </cell>
        </row>
        <row r="224">
          <cell r="A224">
            <v>203</v>
          </cell>
          <cell r="B224">
            <v>101.5</v>
          </cell>
          <cell r="C224">
            <v>50.75</v>
          </cell>
          <cell r="D224">
            <v>16.916666666666668</v>
          </cell>
          <cell r="E224">
            <v>3010772.3822075767</v>
          </cell>
        </row>
        <row r="225">
          <cell r="A225">
            <v>204</v>
          </cell>
          <cell r="B225">
            <v>102</v>
          </cell>
          <cell r="C225">
            <v>51</v>
          </cell>
          <cell r="D225">
            <v>17</v>
          </cell>
          <cell r="E225">
            <v>2978893.6080859588</v>
          </cell>
        </row>
        <row r="226">
          <cell r="A226">
            <v>205</v>
          </cell>
          <cell r="B226">
            <v>102.5</v>
          </cell>
          <cell r="C226">
            <v>51.25</v>
          </cell>
          <cell r="D226">
            <v>17.083333333333332</v>
          </cell>
          <cell r="E226">
            <v>2947034.5877927095</v>
          </cell>
        </row>
        <row r="227">
          <cell r="A227">
            <v>206</v>
          </cell>
          <cell r="B227">
            <v>103</v>
          </cell>
          <cell r="C227">
            <v>51.5</v>
          </cell>
          <cell r="D227">
            <v>17.166666666666668</v>
          </cell>
          <cell r="E227">
            <v>2915195.2484822306</v>
          </cell>
        </row>
        <row r="228">
          <cell r="A228">
            <v>207</v>
          </cell>
          <cell r="B228">
            <v>103.5</v>
          </cell>
          <cell r="C228">
            <v>51.75</v>
          </cell>
          <cell r="D228">
            <v>17.25</v>
          </cell>
          <cell r="E228">
            <v>2883375.5173800588</v>
          </cell>
        </row>
        <row r="229">
          <cell r="A229">
            <v>208</v>
          </cell>
          <cell r="B229">
            <v>104</v>
          </cell>
          <cell r="C229">
            <v>52</v>
          </cell>
          <cell r="D229">
            <v>17.333333333333332</v>
          </cell>
          <cell r="E229">
            <v>2851575.3217826886</v>
          </cell>
        </row>
        <row r="230">
          <cell r="A230">
            <v>209</v>
          </cell>
          <cell r="B230">
            <v>104.5</v>
          </cell>
          <cell r="C230">
            <v>52.25</v>
          </cell>
          <cell r="D230">
            <v>17.416666666666668</v>
          </cell>
          <cell r="E230">
            <v>2819794.5890573943</v>
          </cell>
        </row>
        <row r="231">
          <cell r="A231">
            <v>210</v>
          </cell>
          <cell r="B231">
            <v>105</v>
          </cell>
          <cell r="C231">
            <v>52.5</v>
          </cell>
          <cell r="D231">
            <v>17.5</v>
          </cell>
          <cell r="E231">
            <v>2788033.2466420541</v>
          </cell>
        </row>
        <row r="232">
          <cell r="A232">
            <v>211</v>
          </cell>
          <cell r="B232">
            <v>105.5</v>
          </cell>
          <cell r="C232">
            <v>52.75</v>
          </cell>
          <cell r="D232">
            <v>17.583333333333332</v>
          </cell>
          <cell r="E232">
            <v>2756291.2220449722</v>
          </cell>
        </row>
        <row r="233">
          <cell r="A233">
            <v>212</v>
          </cell>
          <cell r="B233">
            <v>106</v>
          </cell>
          <cell r="C233">
            <v>53</v>
          </cell>
          <cell r="D233">
            <v>17.666666666666668</v>
          </cell>
          <cell r="E233">
            <v>2724568.4428447015</v>
          </cell>
        </row>
        <row r="234">
          <cell r="A234">
            <v>213</v>
          </cell>
          <cell r="B234">
            <v>106.5</v>
          </cell>
          <cell r="C234">
            <v>53.25</v>
          </cell>
          <cell r="D234">
            <v>17.75</v>
          </cell>
          <cell r="E234">
            <v>2692864.8366898689</v>
          </cell>
        </row>
        <row r="235">
          <cell r="A235">
            <v>214</v>
          </cell>
          <cell r="B235">
            <v>107</v>
          </cell>
          <cell r="C235">
            <v>53.5</v>
          </cell>
          <cell r="D235">
            <v>17.833333333333332</v>
          </cell>
          <cell r="E235">
            <v>2661180.3312989976</v>
          </cell>
        </row>
        <row r="236">
          <cell r="A236">
            <v>215</v>
          </cell>
          <cell r="B236">
            <v>107.5</v>
          </cell>
          <cell r="C236">
            <v>53.75</v>
          </cell>
          <cell r="D236">
            <v>17.916666666666668</v>
          </cell>
          <cell r="E236">
            <v>2629514.8544603307</v>
          </cell>
        </row>
        <row r="237">
          <cell r="A237">
            <v>216</v>
          </cell>
          <cell r="B237">
            <v>108</v>
          </cell>
          <cell r="C237">
            <v>54</v>
          </cell>
          <cell r="D237">
            <v>18</v>
          </cell>
          <cell r="E237">
            <v>2597868.3340316564</v>
          </cell>
        </row>
        <row r="238">
          <cell r="A238">
            <v>217</v>
          </cell>
          <cell r="B238">
            <v>108.5</v>
          </cell>
          <cell r="C238">
            <v>54.25</v>
          </cell>
          <cell r="D238">
            <v>18.083333333333332</v>
          </cell>
          <cell r="E238">
            <v>2566240.6979401326</v>
          </cell>
        </row>
        <row r="239">
          <cell r="A239">
            <v>218</v>
          </cell>
          <cell r="B239">
            <v>109</v>
          </cell>
          <cell r="C239">
            <v>54.5</v>
          </cell>
          <cell r="D239">
            <v>18.166666666666668</v>
          </cell>
          <cell r="E239">
            <v>2534631.8741821107</v>
          </cell>
        </row>
        <row r="240">
          <cell r="A240">
            <v>219</v>
          </cell>
          <cell r="B240">
            <v>109.5</v>
          </cell>
          <cell r="C240">
            <v>54.75</v>
          </cell>
          <cell r="D240">
            <v>18.25</v>
          </cell>
          <cell r="E240">
            <v>2503041.7908229595</v>
          </cell>
        </row>
        <row r="241">
          <cell r="A241">
            <v>220</v>
          </cell>
          <cell r="B241">
            <v>110</v>
          </cell>
          <cell r="C241">
            <v>55</v>
          </cell>
          <cell r="D241">
            <v>18.333333333333332</v>
          </cell>
          <cell r="E241">
            <v>2471470.3759968919</v>
          </cell>
        </row>
        <row r="242">
          <cell r="A242">
            <v>221</v>
          </cell>
          <cell r="B242">
            <v>110.5</v>
          </cell>
          <cell r="C242">
            <v>55.25</v>
          </cell>
          <cell r="D242">
            <v>18.416666666666668</v>
          </cell>
          <cell r="E242">
            <v>2439917.5579067897</v>
          </cell>
        </row>
        <row r="243">
          <cell r="A243">
            <v>222</v>
          </cell>
          <cell r="B243">
            <v>111</v>
          </cell>
          <cell r="C243">
            <v>55.5</v>
          </cell>
          <cell r="D243">
            <v>18.5</v>
          </cell>
          <cell r="E243">
            <v>2408383.2648240281</v>
          </cell>
        </row>
        <row r="244">
          <cell r="A244">
            <v>223</v>
          </cell>
          <cell r="B244">
            <v>111.5</v>
          </cell>
          <cell r="C244">
            <v>55.75</v>
          </cell>
          <cell r="D244">
            <v>18.583333333333332</v>
          </cell>
          <cell r="E244">
            <v>2376867.4250883027</v>
          </cell>
        </row>
        <row r="245">
          <cell r="A245">
            <v>224</v>
          </cell>
          <cell r="B245">
            <v>112</v>
          </cell>
          <cell r="C245">
            <v>56</v>
          </cell>
          <cell r="D245">
            <v>18.666666666666668</v>
          </cell>
          <cell r="E245">
            <v>2345369.9671074538</v>
          </cell>
        </row>
        <row r="246">
          <cell r="A246">
            <v>225</v>
          </cell>
          <cell r="B246">
            <v>112.5</v>
          </cell>
          <cell r="C246">
            <v>56.25</v>
          </cell>
          <cell r="D246">
            <v>18.75</v>
          </cell>
          <cell r="E246">
            <v>2313890.8193572941</v>
          </cell>
        </row>
        <row r="247">
          <cell r="A247">
            <v>226</v>
          </cell>
          <cell r="B247">
            <v>113</v>
          </cell>
          <cell r="C247">
            <v>56.5</v>
          </cell>
          <cell r="D247">
            <v>18.833333333333332</v>
          </cell>
          <cell r="E247">
            <v>2282429.9103814336</v>
          </cell>
        </row>
        <row r="248">
          <cell r="A248">
            <v>227</v>
          </cell>
          <cell r="B248">
            <v>113.5</v>
          </cell>
          <cell r="C248">
            <v>56.75</v>
          </cell>
          <cell r="D248">
            <v>18.916666666666668</v>
          </cell>
          <cell r="E248">
            <v>2250987.1687911069</v>
          </cell>
        </row>
        <row r="249">
          <cell r="A249">
            <v>228</v>
          </cell>
          <cell r="B249">
            <v>114</v>
          </cell>
          <cell r="C249">
            <v>57</v>
          </cell>
          <cell r="D249">
            <v>19</v>
          </cell>
          <cell r="E249">
            <v>2219562.523265</v>
          </cell>
        </row>
        <row r="250">
          <cell r="A250">
            <v>229</v>
          </cell>
          <cell r="B250">
            <v>114.5</v>
          </cell>
          <cell r="C250">
            <v>57.25</v>
          </cell>
          <cell r="D250">
            <v>19.083333333333332</v>
          </cell>
          <cell r="E250">
            <v>2188155.9025490768</v>
          </cell>
        </row>
        <row r="251">
          <cell r="A251">
            <v>230</v>
          </cell>
          <cell r="B251">
            <v>115</v>
          </cell>
          <cell r="C251">
            <v>57.5</v>
          </cell>
          <cell r="D251">
            <v>19.166666666666668</v>
          </cell>
          <cell r="E251">
            <v>2156767.2354564057</v>
          </cell>
        </row>
        <row r="252">
          <cell r="A252">
            <v>231</v>
          </cell>
          <cell r="B252">
            <v>115.5</v>
          </cell>
          <cell r="C252">
            <v>57.75</v>
          </cell>
          <cell r="D252">
            <v>19.25</v>
          </cell>
          <cell r="E252">
            <v>2125396.4508669875</v>
          </cell>
        </row>
        <row r="253">
          <cell r="A253">
            <v>232</v>
          </cell>
          <cell r="B253">
            <v>116</v>
          </cell>
          <cell r="C253">
            <v>58</v>
          </cell>
          <cell r="D253">
            <v>19.333333333333332</v>
          </cell>
          <cell r="E253">
            <v>2094043.4777275841</v>
          </cell>
        </row>
        <row r="254">
          <cell r="A254">
            <v>233</v>
          </cell>
          <cell r="B254">
            <v>116.5</v>
          </cell>
          <cell r="C254">
            <v>58.25</v>
          </cell>
          <cell r="D254">
            <v>19.416666666666668</v>
          </cell>
          <cell r="E254">
            <v>2062708.2450515449</v>
          </cell>
        </row>
        <row r="255">
          <cell r="A255">
            <v>234</v>
          </cell>
          <cell r="B255">
            <v>117</v>
          </cell>
          <cell r="C255">
            <v>58.5</v>
          </cell>
          <cell r="D255">
            <v>19.5</v>
          </cell>
          <cell r="E255">
            <v>2031390.6819186341</v>
          </cell>
        </row>
        <row r="256">
          <cell r="A256">
            <v>235</v>
          </cell>
          <cell r="B256">
            <v>117.5</v>
          </cell>
          <cell r="C256">
            <v>58.75</v>
          </cell>
          <cell r="D256">
            <v>19.583333333333332</v>
          </cell>
          <cell r="E256">
            <v>2000090.7174748604</v>
          </cell>
        </row>
        <row r="257">
          <cell r="A257">
            <v>236</v>
          </cell>
          <cell r="B257">
            <v>118</v>
          </cell>
          <cell r="C257">
            <v>59</v>
          </cell>
          <cell r="D257">
            <v>19.666666666666668</v>
          </cell>
          <cell r="E257">
            <v>1968808.2809323047</v>
          </cell>
        </row>
        <row r="258">
          <cell r="A258">
            <v>237</v>
          </cell>
          <cell r="B258">
            <v>118.5</v>
          </cell>
          <cell r="C258">
            <v>59.25</v>
          </cell>
          <cell r="D258">
            <v>19.75</v>
          </cell>
          <cell r="E258">
            <v>1937543.3015689487</v>
          </cell>
        </row>
        <row r="259">
          <cell r="A259">
            <v>238</v>
          </cell>
          <cell r="B259">
            <v>119</v>
          </cell>
          <cell r="C259">
            <v>59.5</v>
          </cell>
          <cell r="D259">
            <v>19.833333333333332</v>
          </cell>
          <cell r="E259">
            <v>1906295.7087285037</v>
          </cell>
        </row>
        <row r="260">
          <cell r="A260">
            <v>239</v>
          </cell>
          <cell r="B260">
            <v>119.5</v>
          </cell>
          <cell r="C260">
            <v>59.75</v>
          </cell>
          <cell r="D260">
            <v>19.916666666666668</v>
          </cell>
          <cell r="E260">
            <v>1875065.4318202399</v>
          </cell>
        </row>
        <row r="261">
          <cell r="A261">
            <v>240</v>
          </cell>
          <cell r="B261">
            <v>120</v>
          </cell>
          <cell r="C261">
            <v>60</v>
          </cell>
          <cell r="D261">
            <v>20</v>
          </cell>
          <cell r="E261">
            <v>1843852.4003188149</v>
          </cell>
        </row>
        <row r="262">
          <cell r="A262">
            <v>241</v>
          </cell>
          <cell r="B262">
            <v>120.5</v>
          </cell>
          <cell r="C262">
            <v>60.25</v>
          </cell>
          <cell r="D262">
            <v>20.083333333333332</v>
          </cell>
          <cell r="E262">
            <v>1812656.5437641039</v>
          </cell>
        </row>
        <row r="263">
          <cell r="A263">
            <v>242</v>
          </cell>
          <cell r="B263">
            <v>121</v>
          </cell>
          <cell r="C263">
            <v>60.5</v>
          </cell>
          <cell r="D263">
            <v>20.166666666666668</v>
          </cell>
          <cell r="E263">
            <v>1781477.7917610286</v>
          </cell>
        </row>
        <row r="264">
          <cell r="A264">
            <v>243</v>
          </cell>
          <cell r="B264">
            <v>121.5</v>
          </cell>
          <cell r="C264">
            <v>60.75</v>
          </cell>
          <cell r="D264">
            <v>20.25</v>
          </cell>
          <cell r="E264">
            <v>1750316.0739793878</v>
          </cell>
        </row>
        <row r="265">
          <cell r="A265">
            <v>244</v>
          </cell>
          <cell r="B265">
            <v>122</v>
          </cell>
          <cell r="C265">
            <v>61</v>
          </cell>
          <cell r="D265">
            <v>20.333333333333332</v>
          </cell>
          <cell r="E265">
            <v>1719171.3201536865</v>
          </cell>
        </row>
        <row r="266">
          <cell r="A266">
            <v>245</v>
          </cell>
          <cell r="B266">
            <v>122.5</v>
          </cell>
          <cell r="C266">
            <v>61.25</v>
          </cell>
          <cell r="D266">
            <v>20.416666666666668</v>
          </cell>
          <cell r="E266">
            <v>1688043.4600829671</v>
          </cell>
        </row>
        <row r="267">
          <cell r="A267">
            <v>246</v>
          </cell>
          <cell r="B267">
            <v>123</v>
          </cell>
          <cell r="C267">
            <v>61.5</v>
          </cell>
          <cell r="D267">
            <v>20.5</v>
          </cell>
          <cell r="E267">
            <v>1656932.4236306392</v>
          </cell>
        </row>
        <row r="268">
          <cell r="A268">
            <v>247</v>
          </cell>
          <cell r="B268">
            <v>123.5</v>
          </cell>
          <cell r="C268">
            <v>61.75</v>
          </cell>
          <cell r="D268">
            <v>20.583333333333332</v>
          </cell>
          <cell r="E268">
            <v>1625838.1407243102</v>
          </cell>
        </row>
        <row r="269">
          <cell r="A269">
            <v>248</v>
          </cell>
          <cell r="B269">
            <v>124</v>
          </cell>
          <cell r="C269">
            <v>62</v>
          </cell>
          <cell r="D269">
            <v>20.666666666666668</v>
          </cell>
          <cell r="E269">
            <v>1594760.5413556166</v>
          </cell>
        </row>
        <row r="270">
          <cell r="A270">
            <v>249</v>
          </cell>
          <cell r="B270">
            <v>124.5</v>
          </cell>
          <cell r="C270">
            <v>62.25</v>
          </cell>
          <cell r="D270">
            <v>20.75</v>
          </cell>
          <cell r="E270">
            <v>1563699.5555800549</v>
          </cell>
        </row>
        <row r="271">
          <cell r="A271">
            <v>250</v>
          </cell>
          <cell r="B271">
            <v>125</v>
          </cell>
          <cell r="C271">
            <v>62.5</v>
          </cell>
          <cell r="D271">
            <v>20.833333333333332</v>
          </cell>
          <cell r="E271">
            <v>1532655.113516812</v>
          </cell>
        </row>
        <row r="272">
          <cell r="A272">
            <v>251</v>
          </cell>
          <cell r="B272">
            <v>125.5</v>
          </cell>
          <cell r="C272">
            <v>62.75</v>
          </cell>
          <cell r="D272">
            <v>20.916666666666668</v>
          </cell>
          <cell r="E272">
            <v>1501627.145348598</v>
          </cell>
        </row>
        <row r="273">
          <cell r="A273">
            <v>252</v>
          </cell>
          <cell r="B273">
            <v>126</v>
          </cell>
          <cell r="C273">
            <v>63</v>
          </cell>
          <cell r="D273">
            <v>21</v>
          </cell>
          <cell r="E273">
            <v>1470615.581321477</v>
          </cell>
        </row>
        <row r="274">
          <cell r="A274">
            <v>253</v>
          </cell>
          <cell r="B274">
            <v>126.5</v>
          </cell>
          <cell r="C274">
            <v>63.25</v>
          </cell>
          <cell r="D274">
            <v>21.083333333333332</v>
          </cell>
          <cell r="E274">
            <v>1439620.3517446993</v>
          </cell>
        </row>
        <row r="275">
          <cell r="A275">
            <v>254</v>
          </cell>
          <cell r="B275">
            <v>127</v>
          </cell>
          <cell r="C275">
            <v>63.5</v>
          </cell>
          <cell r="D275">
            <v>21.166666666666668</v>
          </cell>
          <cell r="E275">
            <v>1408641.386990533</v>
          </cell>
        </row>
        <row r="276">
          <cell r="A276">
            <v>255</v>
          </cell>
          <cell r="B276">
            <v>127.5</v>
          </cell>
          <cell r="C276">
            <v>63.75</v>
          </cell>
          <cell r="D276">
            <v>21.25</v>
          </cell>
          <cell r="E276">
            <v>1377678.6174940965</v>
          </cell>
        </row>
        <row r="277">
          <cell r="A277">
            <v>256</v>
          </cell>
          <cell r="B277">
            <v>128</v>
          </cell>
          <cell r="C277">
            <v>64</v>
          </cell>
          <cell r="D277">
            <v>21.333333333333332</v>
          </cell>
          <cell r="E277">
            <v>1346731.9737531913</v>
          </cell>
        </row>
        <row r="278">
          <cell r="A278">
            <v>257</v>
          </cell>
          <cell r="B278">
            <v>128.5</v>
          </cell>
          <cell r="C278">
            <v>64.25</v>
          </cell>
          <cell r="D278">
            <v>21.416666666666668</v>
          </cell>
          <cell r="E278">
            <v>1315801.3863281342</v>
          </cell>
        </row>
        <row r="279">
          <cell r="A279">
            <v>258</v>
          </cell>
          <cell r="B279">
            <v>129</v>
          </cell>
          <cell r="C279">
            <v>64.5</v>
          </cell>
          <cell r="D279">
            <v>21.5</v>
          </cell>
          <cell r="E279">
            <v>1284886.7858415905</v>
          </cell>
        </row>
        <row r="280">
          <cell r="A280">
            <v>259</v>
          </cell>
          <cell r="B280">
            <v>129.5</v>
          </cell>
          <cell r="C280">
            <v>64.75</v>
          </cell>
          <cell r="D280">
            <v>21.583333333333332</v>
          </cell>
          <cell r="E280">
            <v>1253988.102978406</v>
          </cell>
        </row>
        <row r="281">
          <cell r="A281">
            <v>260</v>
          </cell>
          <cell r="B281">
            <v>130</v>
          </cell>
          <cell r="C281">
            <v>65</v>
          </cell>
          <cell r="D281">
            <v>21.666666666666668</v>
          </cell>
          <cell r="E281">
            <v>1223105.2684854416</v>
          </cell>
        </row>
        <row r="282">
          <cell r="A282">
            <v>261</v>
          </cell>
          <cell r="B282">
            <v>130.5</v>
          </cell>
          <cell r="C282">
            <v>65.25</v>
          </cell>
          <cell r="D282">
            <v>21.75</v>
          </cell>
          <cell r="E282">
            <v>1192238.213171406</v>
          </cell>
        </row>
        <row r="283">
          <cell r="A283">
            <v>262</v>
          </cell>
          <cell r="B283">
            <v>131</v>
          </cell>
          <cell r="C283">
            <v>65.5</v>
          </cell>
          <cell r="D283">
            <v>21.833333333333332</v>
          </cell>
          <cell r="E283">
            <v>1161386.8679066896</v>
          </cell>
        </row>
        <row r="284">
          <cell r="A284">
            <v>263</v>
          </cell>
          <cell r="B284">
            <v>131.5</v>
          </cell>
          <cell r="C284">
            <v>65.75</v>
          </cell>
          <cell r="D284">
            <v>21.916666666666668</v>
          </cell>
          <cell r="E284">
            <v>1130551.1636231984</v>
          </cell>
        </row>
        <row r="285">
          <cell r="A285">
            <v>264</v>
          </cell>
          <cell r="B285">
            <v>132</v>
          </cell>
          <cell r="C285">
            <v>66</v>
          </cell>
          <cell r="D285">
            <v>22</v>
          </cell>
          <cell r="E285">
            <v>1099731.0313141875</v>
          </cell>
        </row>
        <row r="286">
          <cell r="A286">
            <v>265</v>
          </cell>
          <cell r="B286">
            <v>132.5</v>
          </cell>
          <cell r="C286">
            <v>66.25</v>
          </cell>
          <cell r="D286">
            <v>22.083333333333332</v>
          </cell>
          <cell r="E286">
            <v>1068926.4020340955</v>
          </cell>
        </row>
        <row r="287">
          <cell r="A287">
            <v>266</v>
          </cell>
          <cell r="B287">
            <v>133</v>
          </cell>
          <cell r="C287">
            <v>66.5</v>
          </cell>
          <cell r="D287">
            <v>22.166666666666668</v>
          </cell>
          <cell r="E287">
            <v>1038137.2068983793</v>
          </cell>
        </row>
        <row r="288">
          <cell r="A288">
            <v>267</v>
          </cell>
          <cell r="B288">
            <v>133.5</v>
          </cell>
          <cell r="C288">
            <v>66.75</v>
          </cell>
          <cell r="D288">
            <v>22.25</v>
          </cell>
          <cell r="E288">
            <v>1007363.3770833486</v>
          </cell>
        </row>
        <row r="289">
          <cell r="A289">
            <v>268</v>
          </cell>
          <cell r="B289">
            <v>134</v>
          </cell>
          <cell r="C289">
            <v>67</v>
          </cell>
          <cell r="D289">
            <v>22.333333333333332</v>
          </cell>
          <cell r="E289">
            <v>976604.84382600035</v>
          </cell>
        </row>
        <row r="290">
          <cell r="A290">
            <v>269</v>
          </cell>
          <cell r="B290">
            <v>134.5</v>
          </cell>
          <cell r="C290">
            <v>67.25</v>
          </cell>
          <cell r="D290">
            <v>22.416666666666668</v>
          </cell>
          <cell r="E290">
            <v>945861.53842385393</v>
          </cell>
        </row>
        <row r="291">
          <cell r="A291">
            <v>270</v>
          </cell>
          <cell r="B291">
            <v>135</v>
          </cell>
          <cell r="C291">
            <v>67.5</v>
          </cell>
          <cell r="D291">
            <v>22.5</v>
          </cell>
          <cell r="E291">
            <v>915133.39223478665</v>
          </cell>
        </row>
        <row r="292">
          <cell r="A292">
            <v>271</v>
          </cell>
          <cell r="B292">
            <v>135.5</v>
          </cell>
          <cell r="C292">
            <v>67.75</v>
          </cell>
          <cell r="D292">
            <v>22.583333333333332</v>
          </cell>
          <cell r="E292">
            <v>884420.33667686849</v>
          </cell>
        </row>
        <row r="293">
          <cell r="A293">
            <v>272</v>
          </cell>
          <cell r="B293">
            <v>136</v>
          </cell>
          <cell r="C293">
            <v>68</v>
          </cell>
          <cell r="D293">
            <v>22.666666666666668</v>
          </cell>
          <cell r="E293">
            <v>853722.3032281982</v>
          </cell>
        </row>
        <row r="294">
          <cell r="A294">
            <v>273</v>
          </cell>
          <cell r="B294">
            <v>136.5</v>
          </cell>
          <cell r="C294">
            <v>68.25</v>
          </cell>
          <cell r="D294">
            <v>22.75</v>
          </cell>
          <cell r="E294">
            <v>823039.22342673899</v>
          </cell>
        </row>
        <row r="295">
          <cell r="A295">
            <v>274</v>
          </cell>
          <cell r="B295">
            <v>137</v>
          </cell>
          <cell r="C295">
            <v>68.5</v>
          </cell>
          <cell r="D295">
            <v>22.833333333333332</v>
          </cell>
          <cell r="E295">
            <v>792371.02887015417</v>
          </cell>
        </row>
        <row r="296">
          <cell r="A296">
            <v>275</v>
          </cell>
          <cell r="B296">
            <v>137.5</v>
          </cell>
          <cell r="C296">
            <v>68.75</v>
          </cell>
          <cell r="D296">
            <v>22.916666666666668</v>
          </cell>
          <cell r="E296">
            <v>761717.65121564374</v>
          </cell>
        </row>
        <row r="297">
          <cell r="A297">
            <v>276</v>
          </cell>
          <cell r="B297">
            <v>138</v>
          </cell>
          <cell r="C297">
            <v>69</v>
          </cell>
          <cell r="D297">
            <v>23</v>
          </cell>
          <cell r="E297">
            <v>731079.0221797803</v>
          </cell>
        </row>
        <row r="298">
          <cell r="A298">
            <v>277</v>
          </cell>
          <cell r="B298">
            <v>138.5</v>
          </cell>
          <cell r="C298">
            <v>69.25</v>
          </cell>
          <cell r="D298">
            <v>23.083333333333332</v>
          </cell>
          <cell r="E298">
            <v>700455.07353834575</v>
          </cell>
        </row>
        <row r="299">
          <cell r="A299">
            <v>278</v>
          </cell>
          <cell r="B299">
            <v>139</v>
          </cell>
          <cell r="C299">
            <v>69.5</v>
          </cell>
          <cell r="D299">
            <v>23.166666666666668</v>
          </cell>
          <cell r="E299">
            <v>669845.73712616821</v>
          </cell>
        </row>
        <row r="300">
          <cell r="A300">
            <v>279</v>
          </cell>
          <cell r="B300">
            <v>139.5</v>
          </cell>
          <cell r="C300">
            <v>69.75</v>
          </cell>
          <cell r="D300">
            <v>23.25</v>
          </cell>
          <cell r="E300">
            <v>639250.94483695889</v>
          </cell>
        </row>
        <row r="301">
          <cell r="A301">
            <v>280</v>
          </cell>
          <cell r="B301">
            <v>140</v>
          </cell>
          <cell r="C301">
            <v>70</v>
          </cell>
          <cell r="D301">
            <v>23.333333333333332</v>
          </cell>
          <cell r="E301">
            <v>608670.62862314878</v>
          </cell>
        </row>
        <row r="302">
          <cell r="A302">
            <v>281</v>
          </cell>
          <cell r="B302">
            <v>140.5</v>
          </cell>
          <cell r="C302">
            <v>70.25</v>
          </cell>
          <cell r="D302">
            <v>23.416666666666668</v>
          </cell>
          <cell r="E302">
            <v>578104.72049572621</v>
          </cell>
        </row>
        <row r="303">
          <cell r="A303">
            <v>282</v>
          </cell>
          <cell r="B303">
            <v>141</v>
          </cell>
          <cell r="C303">
            <v>70.5</v>
          </cell>
          <cell r="D303">
            <v>23.5</v>
          </cell>
          <cell r="E303">
            <v>547553.15252407454</v>
          </cell>
        </row>
        <row r="304">
          <cell r="A304">
            <v>283</v>
          </cell>
          <cell r="B304">
            <v>141.5</v>
          </cell>
          <cell r="C304">
            <v>70.75</v>
          </cell>
          <cell r="D304">
            <v>23.583333333333332</v>
          </cell>
          <cell r="E304">
            <v>517015.85683580948</v>
          </cell>
        </row>
        <row r="305">
          <cell r="A305">
            <v>284</v>
          </cell>
          <cell r="B305">
            <v>142</v>
          </cell>
          <cell r="C305">
            <v>71</v>
          </cell>
          <cell r="D305">
            <v>23.666666666666668</v>
          </cell>
          <cell r="E305">
            <v>486492.76561661711</v>
          </cell>
        </row>
        <row r="306">
          <cell r="A306">
            <v>285</v>
          </cell>
          <cell r="B306">
            <v>142.5</v>
          </cell>
          <cell r="C306">
            <v>71.25</v>
          </cell>
          <cell r="D306">
            <v>23.75</v>
          </cell>
          <cell r="E306">
            <v>455983.8111100918</v>
          </cell>
        </row>
        <row r="307">
          <cell r="A307">
            <v>286</v>
          </cell>
          <cell r="B307">
            <v>143</v>
          </cell>
          <cell r="C307">
            <v>71.5</v>
          </cell>
          <cell r="D307">
            <v>23.833333333333332</v>
          </cell>
          <cell r="E307">
            <v>425488.92561757466</v>
          </cell>
        </row>
        <row r="308">
          <cell r="A308">
            <v>287</v>
          </cell>
          <cell r="B308">
            <v>143.5</v>
          </cell>
          <cell r="C308">
            <v>71.75</v>
          </cell>
          <cell r="D308">
            <v>23.916666666666668</v>
          </cell>
          <cell r="E308">
            <v>395008.04149799171</v>
          </cell>
        </row>
        <row r="309">
          <cell r="A309">
            <v>288</v>
          </cell>
          <cell r="B309">
            <v>144</v>
          </cell>
          <cell r="C309">
            <v>72</v>
          </cell>
          <cell r="D309">
            <v>24</v>
          </cell>
          <cell r="E309">
            <v>364541.09116769256</v>
          </cell>
        </row>
        <row r="310">
          <cell r="A310">
            <v>289</v>
          </cell>
          <cell r="B310">
            <v>144.5</v>
          </cell>
          <cell r="C310">
            <v>72.25</v>
          </cell>
          <cell r="D310">
            <v>24.083333333333332</v>
          </cell>
          <cell r="E310">
            <v>334088.00710028922</v>
          </cell>
        </row>
        <row r="311">
          <cell r="A311">
            <v>290</v>
          </cell>
          <cell r="B311">
            <v>145</v>
          </cell>
          <cell r="C311">
            <v>72.5</v>
          </cell>
          <cell r="D311">
            <v>24.166666666666668</v>
          </cell>
          <cell r="E311">
            <v>303648.72182649514</v>
          </cell>
        </row>
        <row r="312">
          <cell r="A312">
            <v>291</v>
          </cell>
          <cell r="B312">
            <v>145.5</v>
          </cell>
          <cell r="C312">
            <v>72.75</v>
          </cell>
          <cell r="D312">
            <v>24.25</v>
          </cell>
          <cell r="E312">
            <v>273223.16793396411</v>
          </cell>
        </row>
        <row r="313">
          <cell r="A313">
            <v>292</v>
          </cell>
          <cell r="B313">
            <v>146</v>
          </cell>
          <cell r="C313">
            <v>73</v>
          </cell>
          <cell r="D313">
            <v>24.333333333333332</v>
          </cell>
          <cell r="E313">
            <v>242811.27806712987</v>
          </cell>
        </row>
        <row r="314">
          <cell r="A314">
            <v>293</v>
          </cell>
          <cell r="B314">
            <v>146.5</v>
          </cell>
          <cell r="C314">
            <v>73.25</v>
          </cell>
          <cell r="D314">
            <v>24.416666666666668</v>
          </cell>
          <cell r="E314">
            <v>212412.98492704547</v>
          </cell>
        </row>
        <row r="315">
          <cell r="A315">
            <v>294</v>
          </cell>
          <cell r="B315">
            <v>147</v>
          </cell>
          <cell r="C315">
            <v>73.5</v>
          </cell>
          <cell r="D315">
            <v>24.5</v>
          </cell>
          <cell r="E315">
            <v>182028.22127122301</v>
          </cell>
        </row>
        <row r="316">
          <cell r="A316">
            <v>295</v>
          </cell>
          <cell r="B316">
            <v>147.5</v>
          </cell>
          <cell r="C316">
            <v>73.75</v>
          </cell>
          <cell r="D316">
            <v>24.583333333333332</v>
          </cell>
          <cell r="E316">
            <v>151656.9199134736</v>
          </cell>
        </row>
        <row r="317">
          <cell r="A317">
            <v>296</v>
          </cell>
          <cell r="B317">
            <v>148</v>
          </cell>
          <cell r="C317">
            <v>74</v>
          </cell>
          <cell r="D317">
            <v>24.666666666666668</v>
          </cell>
          <cell r="E317">
            <v>121299.01372374732</v>
          </cell>
        </row>
        <row r="318">
          <cell r="A318">
            <v>297</v>
          </cell>
          <cell r="B318">
            <v>148.5</v>
          </cell>
          <cell r="C318">
            <v>74.25</v>
          </cell>
          <cell r="D318">
            <v>24.75</v>
          </cell>
          <cell r="E318">
            <v>90954.435627973522</v>
          </cell>
        </row>
        <row r="319">
          <cell r="A319">
            <v>298</v>
          </cell>
          <cell r="B319">
            <v>149</v>
          </cell>
          <cell r="C319">
            <v>74.5</v>
          </cell>
          <cell r="D319">
            <v>24.833333333333332</v>
          </cell>
          <cell r="E319">
            <v>60623.118607901284</v>
          </cell>
        </row>
        <row r="320">
          <cell r="A320">
            <v>299</v>
          </cell>
          <cell r="B320">
            <v>149.5</v>
          </cell>
          <cell r="C320">
            <v>74.75</v>
          </cell>
          <cell r="D320">
            <v>24.916666666666668</v>
          </cell>
          <cell r="E320">
            <v>30304.995700939944</v>
          </cell>
        </row>
        <row r="321">
          <cell r="A321">
            <v>300</v>
          </cell>
          <cell r="B321">
            <v>150</v>
          </cell>
          <cell r="C321">
            <v>75</v>
          </cell>
          <cell r="D321">
            <v>25</v>
          </cell>
          <cell r="E321">
            <v>0</v>
          </cell>
        </row>
        <row r="322">
          <cell r="A322">
            <v>301</v>
          </cell>
          <cell r="B322">
            <v>150.5</v>
          </cell>
          <cell r="C322">
            <v>75.25</v>
          </cell>
          <cell r="D322">
            <v>25.083333333333332</v>
          </cell>
          <cell r="E322">
            <v>0</v>
          </cell>
        </row>
        <row r="323">
          <cell r="A323">
            <v>302</v>
          </cell>
          <cell r="B323">
            <v>151</v>
          </cell>
          <cell r="C323">
            <v>75.5</v>
          </cell>
          <cell r="D323">
            <v>25.166666666666668</v>
          </cell>
          <cell r="E323">
            <v>0</v>
          </cell>
        </row>
        <row r="324">
          <cell r="A324">
            <v>303</v>
          </cell>
          <cell r="B324">
            <v>151.5</v>
          </cell>
          <cell r="C324">
            <v>75.75</v>
          </cell>
          <cell r="D324">
            <v>25.25</v>
          </cell>
          <cell r="E324">
            <v>0</v>
          </cell>
        </row>
        <row r="325">
          <cell r="A325">
            <v>304</v>
          </cell>
          <cell r="B325">
            <v>152</v>
          </cell>
          <cell r="C325">
            <v>76</v>
          </cell>
          <cell r="D325">
            <v>25.333333333333332</v>
          </cell>
          <cell r="E325">
            <v>0</v>
          </cell>
        </row>
        <row r="326">
          <cell r="A326">
            <v>305</v>
          </cell>
          <cell r="B326">
            <v>152.5</v>
          </cell>
          <cell r="C326">
            <v>76.25</v>
          </cell>
          <cell r="D326">
            <v>25.416666666666668</v>
          </cell>
          <cell r="E326">
            <v>0</v>
          </cell>
        </row>
        <row r="327">
          <cell r="A327">
            <v>306</v>
          </cell>
          <cell r="B327">
            <v>153</v>
          </cell>
          <cell r="C327">
            <v>76.5</v>
          </cell>
          <cell r="D327">
            <v>25.5</v>
          </cell>
          <cell r="E327">
            <v>0</v>
          </cell>
        </row>
        <row r="328">
          <cell r="A328">
            <v>307</v>
          </cell>
          <cell r="B328">
            <v>153.5</v>
          </cell>
          <cell r="C328">
            <v>76.75</v>
          </cell>
          <cell r="D328">
            <v>25.583333333333332</v>
          </cell>
          <cell r="E328">
            <v>0</v>
          </cell>
        </row>
        <row r="329">
          <cell r="A329">
            <v>308</v>
          </cell>
          <cell r="B329">
            <v>154</v>
          </cell>
          <cell r="C329">
            <v>77</v>
          </cell>
          <cell r="D329">
            <v>25.666666666666668</v>
          </cell>
          <cell r="E329">
            <v>0</v>
          </cell>
        </row>
        <row r="330">
          <cell r="A330">
            <v>309</v>
          </cell>
          <cell r="B330">
            <v>154.5</v>
          </cell>
          <cell r="C330">
            <v>77.25</v>
          </cell>
          <cell r="D330">
            <v>25.75</v>
          </cell>
          <cell r="E330">
            <v>0</v>
          </cell>
        </row>
        <row r="331">
          <cell r="A331">
            <v>310</v>
          </cell>
          <cell r="B331">
            <v>155</v>
          </cell>
          <cell r="C331">
            <v>77.5</v>
          </cell>
          <cell r="D331">
            <v>25.833333333333332</v>
          </cell>
          <cell r="E331">
            <v>0</v>
          </cell>
        </row>
        <row r="332">
          <cell r="A332">
            <v>311</v>
          </cell>
          <cell r="B332">
            <v>155.5</v>
          </cell>
          <cell r="C332">
            <v>77.75</v>
          </cell>
          <cell r="D332">
            <v>25.916666666666668</v>
          </cell>
          <cell r="E332">
            <v>0</v>
          </cell>
        </row>
        <row r="333">
          <cell r="A333">
            <v>312</v>
          </cell>
          <cell r="B333">
            <v>156</v>
          </cell>
          <cell r="C333">
            <v>78</v>
          </cell>
          <cell r="D333">
            <v>26</v>
          </cell>
          <cell r="E333">
            <v>0</v>
          </cell>
        </row>
        <row r="334">
          <cell r="A334">
            <v>313</v>
          </cell>
          <cell r="B334">
            <v>156.5</v>
          </cell>
          <cell r="C334">
            <v>78.25</v>
          </cell>
          <cell r="D334">
            <v>26.083333333333332</v>
          </cell>
          <cell r="E334">
            <v>0</v>
          </cell>
        </row>
        <row r="335">
          <cell r="A335">
            <v>314</v>
          </cell>
          <cell r="B335">
            <v>157</v>
          </cell>
          <cell r="C335">
            <v>78.5</v>
          </cell>
          <cell r="D335">
            <v>26.166666666666668</v>
          </cell>
          <cell r="E335">
            <v>0</v>
          </cell>
        </row>
        <row r="336">
          <cell r="A336">
            <v>315</v>
          </cell>
          <cell r="B336">
            <v>157.5</v>
          </cell>
          <cell r="C336">
            <v>78.75</v>
          </cell>
          <cell r="D336">
            <v>26.25</v>
          </cell>
          <cell r="E336">
            <v>0</v>
          </cell>
        </row>
        <row r="337">
          <cell r="A337">
            <v>316</v>
          </cell>
          <cell r="B337">
            <v>158</v>
          </cell>
          <cell r="C337">
            <v>79</v>
          </cell>
          <cell r="D337">
            <v>26.333333333333332</v>
          </cell>
          <cell r="E337">
            <v>0</v>
          </cell>
        </row>
        <row r="338">
          <cell r="A338">
            <v>317</v>
          </cell>
          <cell r="B338">
            <v>158.5</v>
          </cell>
          <cell r="C338">
            <v>79.25</v>
          </cell>
          <cell r="D338">
            <v>26.416666666666668</v>
          </cell>
          <cell r="E338">
            <v>0</v>
          </cell>
        </row>
        <row r="339">
          <cell r="A339">
            <v>318</v>
          </cell>
          <cell r="B339">
            <v>159</v>
          </cell>
          <cell r="C339">
            <v>79.5</v>
          </cell>
          <cell r="D339">
            <v>26.5</v>
          </cell>
          <cell r="E339">
            <v>0</v>
          </cell>
        </row>
        <row r="340">
          <cell r="A340">
            <v>319</v>
          </cell>
          <cell r="B340">
            <v>159.5</v>
          </cell>
          <cell r="C340">
            <v>79.75</v>
          </cell>
          <cell r="D340">
            <v>26.583333333333332</v>
          </cell>
          <cell r="E340">
            <v>0</v>
          </cell>
        </row>
        <row r="341">
          <cell r="A341">
            <v>320</v>
          </cell>
          <cell r="B341">
            <v>160</v>
          </cell>
          <cell r="C341">
            <v>80</v>
          </cell>
          <cell r="D341">
            <v>26.666666666666668</v>
          </cell>
          <cell r="E341">
            <v>0</v>
          </cell>
        </row>
        <row r="342">
          <cell r="A342">
            <v>321</v>
          </cell>
          <cell r="B342">
            <v>160.5</v>
          </cell>
          <cell r="C342">
            <v>80.25</v>
          </cell>
          <cell r="D342">
            <v>26.75</v>
          </cell>
          <cell r="E342">
            <v>0</v>
          </cell>
        </row>
        <row r="343">
          <cell r="A343">
            <v>322</v>
          </cell>
          <cell r="B343">
            <v>161</v>
          </cell>
          <cell r="C343">
            <v>80.5</v>
          </cell>
          <cell r="D343">
            <v>26.833333333333332</v>
          </cell>
          <cell r="E343">
            <v>0</v>
          </cell>
        </row>
        <row r="344">
          <cell r="A344">
            <v>323</v>
          </cell>
          <cell r="B344">
            <v>161.5</v>
          </cell>
          <cell r="C344">
            <v>80.75</v>
          </cell>
          <cell r="D344">
            <v>26.916666666666668</v>
          </cell>
          <cell r="E344">
            <v>0</v>
          </cell>
        </row>
        <row r="345">
          <cell r="A345">
            <v>324</v>
          </cell>
          <cell r="B345">
            <v>162</v>
          </cell>
          <cell r="C345">
            <v>81</v>
          </cell>
          <cell r="D345">
            <v>27</v>
          </cell>
          <cell r="E345">
            <v>0</v>
          </cell>
        </row>
        <row r="346">
          <cell r="A346">
            <v>325</v>
          </cell>
          <cell r="B346">
            <v>162.5</v>
          </cell>
          <cell r="C346">
            <v>81.25</v>
          </cell>
          <cell r="D346">
            <v>27.083333333333332</v>
          </cell>
          <cell r="E346">
            <v>0</v>
          </cell>
        </row>
        <row r="347">
          <cell r="A347">
            <v>326</v>
          </cell>
          <cell r="B347">
            <v>163</v>
          </cell>
          <cell r="C347">
            <v>81.5</v>
          </cell>
          <cell r="D347">
            <v>27.166666666666668</v>
          </cell>
          <cell r="E347">
            <v>0</v>
          </cell>
        </row>
        <row r="348">
          <cell r="A348">
            <v>327</v>
          </cell>
          <cell r="B348">
            <v>163.5</v>
          </cell>
          <cell r="C348">
            <v>81.75</v>
          </cell>
          <cell r="D348">
            <v>27.25</v>
          </cell>
          <cell r="E348">
            <v>0</v>
          </cell>
        </row>
        <row r="349">
          <cell r="A349">
            <v>328</v>
          </cell>
          <cell r="B349">
            <v>164</v>
          </cell>
          <cell r="C349">
            <v>82</v>
          </cell>
          <cell r="D349">
            <v>27.333333333333332</v>
          </cell>
          <cell r="E349">
            <v>0</v>
          </cell>
        </row>
        <row r="350">
          <cell r="A350">
            <v>329</v>
          </cell>
          <cell r="B350">
            <v>164.5</v>
          </cell>
          <cell r="C350">
            <v>82.25</v>
          </cell>
          <cell r="D350">
            <v>27.416666666666668</v>
          </cell>
          <cell r="E350">
            <v>0</v>
          </cell>
        </row>
        <row r="351">
          <cell r="A351">
            <v>330</v>
          </cell>
          <cell r="B351">
            <v>165</v>
          </cell>
          <cell r="C351">
            <v>82.5</v>
          </cell>
          <cell r="D351">
            <v>27.5</v>
          </cell>
          <cell r="E351">
            <v>0</v>
          </cell>
        </row>
        <row r="352">
          <cell r="A352">
            <v>331</v>
          </cell>
          <cell r="B352">
            <v>165.5</v>
          </cell>
          <cell r="C352">
            <v>82.75</v>
          </cell>
          <cell r="D352">
            <v>27.583333333333332</v>
          </cell>
          <cell r="E352">
            <v>0</v>
          </cell>
        </row>
        <row r="353">
          <cell r="A353">
            <v>332</v>
          </cell>
          <cell r="B353">
            <v>166</v>
          </cell>
          <cell r="C353">
            <v>83</v>
          </cell>
          <cell r="D353">
            <v>27.666666666666668</v>
          </cell>
          <cell r="E353">
            <v>0</v>
          </cell>
        </row>
        <row r="354">
          <cell r="A354">
            <v>333</v>
          </cell>
          <cell r="B354">
            <v>166.5</v>
          </cell>
          <cell r="C354">
            <v>83.25</v>
          </cell>
          <cell r="D354">
            <v>27.75</v>
          </cell>
          <cell r="E354">
            <v>0</v>
          </cell>
        </row>
        <row r="355">
          <cell r="A355">
            <v>334</v>
          </cell>
          <cell r="B355">
            <v>167</v>
          </cell>
          <cell r="C355">
            <v>83.5</v>
          </cell>
          <cell r="D355">
            <v>27.833333333333332</v>
          </cell>
          <cell r="E355">
            <v>0</v>
          </cell>
        </row>
        <row r="356">
          <cell r="A356">
            <v>335</v>
          </cell>
          <cell r="B356">
            <v>167.5</v>
          </cell>
          <cell r="C356">
            <v>83.75</v>
          </cell>
          <cell r="D356">
            <v>27.916666666666668</v>
          </cell>
          <cell r="E356">
            <v>0</v>
          </cell>
        </row>
        <row r="357">
          <cell r="A357">
            <v>336</v>
          </cell>
          <cell r="B357">
            <v>168</v>
          </cell>
          <cell r="C357">
            <v>84</v>
          </cell>
          <cell r="D357">
            <v>28</v>
          </cell>
          <cell r="E357">
            <v>0</v>
          </cell>
        </row>
        <row r="358">
          <cell r="A358">
            <v>337</v>
          </cell>
          <cell r="B358">
            <v>168.5</v>
          </cell>
          <cell r="C358">
            <v>84.25</v>
          </cell>
          <cell r="D358">
            <v>28.083333333333332</v>
          </cell>
          <cell r="E358">
            <v>0</v>
          </cell>
        </row>
        <row r="359">
          <cell r="A359">
            <v>338</v>
          </cell>
          <cell r="B359">
            <v>169</v>
          </cell>
          <cell r="C359">
            <v>84.5</v>
          </cell>
          <cell r="D359">
            <v>28.166666666666668</v>
          </cell>
          <cell r="E359">
            <v>0</v>
          </cell>
        </row>
        <row r="360">
          <cell r="A360">
            <v>339</v>
          </cell>
          <cell r="B360">
            <v>169.5</v>
          </cell>
          <cell r="C360">
            <v>84.75</v>
          </cell>
          <cell r="D360">
            <v>28.25</v>
          </cell>
          <cell r="E360">
            <v>0</v>
          </cell>
        </row>
        <row r="361">
          <cell r="A361">
            <v>340</v>
          </cell>
          <cell r="B361">
            <v>170</v>
          </cell>
          <cell r="C361">
            <v>85</v>
          </cell>
          <cell r="D361">
            <v>28.333333333333332</v>
          </cell>
          <cell r="E361">
            <v>0</v>
          </cell>
        </row>
        <row r="362">
          <cell r="A362">
            <v>341</v>
          </cell>
          <cell r="B362">
            <v>170.5</v>
          </cell>
          <cell r="C362">
            <v>85.25</v>
          </cell>
          <cell r="D362">
            <v>28.416666666666668</v>
          </cell>
          <cell r="E362">
            <v>0</v>
          </cell>
        </row>
        <row r="363">
          <cell r="A363">
            <v>342</v>
          </cell>
          <cell r="B363">
            <v>171</v>
          </cell>
          <cell r="C363">
            <v>85.5</v>
          </cell>
          <cell r="D363">
            <v>28.5</v>
          </cell>
          <cell r="E363">
            <v>0</v>
          </cell>
        </row>
        <row r="364">
          <cell r="A364">
            <v>343</v>
          </cell>
          <cell r="B364">
            <v>171.5</v>
          </cell>
          <cell r="C364">
            <v>85.75</v>
          </cell>
          <cell r="D364">
            <v>28.583333333333332</v>
          </cell>
          <cell r="E364">
            <v>0</v>
          </cell>
        </row>
        <row r="365">
          <cell r="A365">
            <v>344</v>
          </cell>
          <cell r="B365">
            <v>172</v>
          </cell>
          <cell r="C365">
            <v>86</v>
          </cell>
          <cell r="D365">
            <v>28.666666666666668</v>
          </cell>
          <cell r="E365">
            <v>0</v>
          </cell>
        </row>
        <row r="366">
          <cell r="A366">
            <v>345</v>
          </cell>
          <cell r="B366">
            <v>172.5</v>
          </cell>
          <cell r="C366">
            <v>86.25</v>
          </cell>
          <cell r="D366">
            <v>28.75</v>
          </cell>
          <cell r="E366">
            <v>0</v>
          </cell>
        </row>
        <row r="367">
          <cell r="A367">
            <v>346</v>
          </cell>
          <cell r="B367">
            <v>173</v>
          </cell>
          <cell r="C367">
            <v>86.5</v>
          </cell>
          <cell r="D367">
            <v>28.833333333333332</v>
          </cell>
          <cell r="E367">
            <v>0</v>
          </cell>
        </row>
        <row r="368">
          <cell r="A368">
            <v>347</v>
          </cell>
          <cell r="B368">
            <v>173.5</v>
          </cell>
          <cell r="C368">
            <v>86.75</v>
          </cell>
          <cell r="D368">
            <v>28.916666666666668</v>
          </cell>
          <cell r="E368">
            <v>0</v>
          </cell>
        </row>
        <row r="369">
          <cell r="A369">
            <v>348</v>
          </cell>
          <cell r="B369">
            <v>174</v>
          </cell>
          <cell r="C369">
            <v>87</v>
          </cell>
          <cell r="D369">
            <v>29</v>
          </cell>
          <cell r="E369">
            <v>0</v>
          </cell>
        </row>
        <row r="370">
          <cell r="A370">
            <v>349</v>
          </cell>
          <cell r="B370">
            <v>174.5</v>
          </cell>
          <cell r="C370">
            <v>87.25</v>
          </cell>
          <cell r="D370">
            <v>29.083333333333332</v>
          </cell>
          <cell r="E370">
            <v>0</v>
          </cell>
        </row>
        <row r="371">
          <cell r="A371">
            <v>350</v>
          </cell>
          <cell r="B371">
            <v>175</v>
          </cell>
          <cell r="C371">
            <v>87.5</v>
          </cell>
          <cell r="D371">
            <v>29.166666666666668</v>
          </cell>
          <cell r="E371">
            <v>0</v>
          </cell>
        </row>
        <row r="372">
          <cell r="A372">
            <v>351</v>
          </cell>
          <cell r="B372">
            <v>175.5</v>
          </cell>
          <cell r="C372">
            <v>87.75</v>
          </cell>
          <cell r="D372">
            <v>29.25</v>
          </cell>
          <cell r="E372">
            <v>0</v>
          </cell>
        </row>
        <row r="373">
          <cell r="A373">
            <v>352</v>
          </cell>
          <cell r="B373">
            <v>176</v>
          </cell>
          <cell r="C373">
            <v>88</v>
          </cell>
          <cell r="D373">
            <v>29.333333333333332</v>
          </cell>
          <cell r="E373">
            <v>0</v>
          </cell>
        </row>
        <row r="374">
          <cell r="A374">
            <v>353</v>
          </cell>
          <cell r="B374">
            <v>176.5</v>
          </cell>
          <cell r="C374">
            <v>88.25</v>
          </cell>
          <cell r="D374">
            <v>29.416666666666668</v>
          </cell>
          <cell r="E374">
            <v>0</v>
          </cell>
        </row>
        <row r="375">
          <cell r="A375">
            <v>354</v>
          </cell>
          <cell r="B375">
            <v>177</v>
          </cell>
          <cell r="C375">
            <v>88.5</v>
          </cell>
          <cell r="D375">
            <v>29.5</v>
          </cell>
          <cell r="E375">
            <v>0</v>
          </cell>
        </row>
        <row r="376">
          <cell r="A376">
            <v>355</v>
          </cell>
          <cell r="B376">
            <v>177.5</v>
          </cell>
          <cell r="C376">
            <v>88.75</v>
          </cell>
          <cell r="D376">
            <v>29.583333333333332</v>
          </cell>
          <cell r="E376">
            <v>0</v>
          </cell>
        </row>
        <row r="377">
          <cell r="A377">
            <v>356</v>
          </cell>
          <cell r="B377">
            <v>178</v>
          </cell>
          <cell r="C377">
            <v>89</v>
          </cell>
          <cell r="D377">
            <v>29.666666666666668</v>
          </cell>
          <cell r="E377">
            <v>0</v>
          </cell>
        </row>
        <row r="378">
          <cell r="A378">
            <v>357</v>
          </cell>
          <cell r="B378">
            <v>178.5</v>
          </cell>
          <cell r="C378">
            <v>89.25</v>
          </cell>
          <cell r="D378">
            <v>29.75</v>
          </cell>
          <cell r="E378">
            <v>0</v>
          </cell>
        </row>
        <row r="379">
          <cell r="A379">
            <v>358</v>
          </cell>
          <cell r="B379">
            <v>179</v>
          </cell>
          <cell r="C379">
            <v>89.5</v>
          </cell>
          <cell r="D379">
            <v>29.833333333333332</v>
          </cell>
          <cell r="E379">
            <v>0</v>
          </cell>
        </row>
        <row r="380">
          <cell r="A380">
            <v>359</v>
          </cell>
          <cell r="B380">
            <v>179.5</v>
          </cell>
          <cell r="C380">
            <v>89.75</v>
          </cell>
          <cell r="D380">
            <v>29.916666666666668</v>
          </cell>
          <cell r="E380">
            <v>0</v>
          </cell>
        </row>
        <row r="381">
          <cell r="A381">
            <v>360</v>
          </cell>
          <cell r="B381">
            <v>180</v>
          </cell>
          <cell r="C381">
            <v>90</v>
          </cell>
          <cell r="D381">
            <v>30</v>
          </cell>
          <cell r="E381">
            <v>0</v>
          </cell>
        </row>
      </sheetData>
      <sheetData sheetId="8">
        <row r="17">
          <cell r="AG17">
            <v>11.814929728702602</v>
          </cell>
        </row>
        <row r="18">
          <cell r="AA18">
            <v>2.8177202887763819</v>
          </cell>
        </row>
        <row r="19">
          <cell r="T19">
            <v>8.029169314245566</v>
          </cell>
        </row>
        <row r="22">
          <cell r="A22">
            <v>1</v>
          </cell>
          <cell r="B22">
            <v>0.5</v>
          </cell>
          <cell r="C22">
            <v>0.25</v>
          </cell>
          <cell r="D22">
            <v>8.3333333333333329E-2</v>
          </cell>
          <cell r="E22">
            <v>9966464.0376069862</v>
          </cell>
        </row>
        <row r="23">
          <cell r="A23">
            <v>2</v>
          </cell>
          <cell r="B23">
            <v>1</v>
          </cell>
          <cell r="C23">
            <v>0.5</v>
          </cell>
          <cell r="D23">
            <v>0.16666666666666666</v>
          </cell>
          <cell r="E23">
            <v>9932942.2096708026</v>
          </cell>
        </row>
        <row r="24">
          <cell r="A24">
            <v>3</v>
          </cell>
          <cell r="B24">
            <v>1.5</v>
          </cell>
          <cell r="C24">
            <v>0.75</v>
          </cell>
          <cell r="D24">
            <v>0.25</v>
          </cell>
          <cell r="E24">
            <v>9899434.3928597141</v>
          </cell>
        </row>
        <row r="25">
          <cell r="A25">
            <v>4</v>
          </cell>
          <cell r="B25">
            <v>2</v>
          </cell>
          <cell r="C25">
            <v>1</v>
          </cell>
          <cell r="D25">
            <v>0.33333333333333331</v>
          </cell>
          <cell r="E25">
            <v>9865940.4638033286</v>
          </cell>
        </row>
        <row r="26">
          <cell r="A26">
            <v>5</v>
          </cell>
          <cell r="B26">
            <v>2.5</v>
          </cell>
          <cell r="C26">
            <v>1.25</v>
          </cell>
          <cell r="D26">
            <v>0.41666666666666669</v>
          </cell>
          <cell r="E26">
            <v>9832460.2990920804</v>
          </cell>
        </row>
        <row r="27">
          <cell r="A27">
            <v>6</v>
          </cell>
          <cell r="B27">
            <v>3</v>
          </cell>
          <cell r="C27">
            <v>1.5</v>
          </cell>
          <cell r="D27">
            <v>0.5</v>
          </cell>
          <cell r="E27">
            <v>9798993.7752766982</v>
          </cell>
        </row>
        <row r="28">
          <cell r="A28">
            <v>7</v>
          </cell>
          <cell r="B28">
            <v>3.5</v>
          </cell>
          <cell r="C28">
            <v>1.75</v>
          </cell>
          <cell r="D28">
            <v>0.58333333333333337</v>
          </cell>
          <cell r="E28">
            <v>9765540.7688676864</v>
          </cell>
        </row>
        <row r="29">
          <cell r="A29">
            <v>8</v>
          </cell>
          <cell r="B29">
            <v>4</v>
          </cell>
          <cell r="C29">
            <v>2</v>
          </cell>
          <cell r="D29">
            <v>0.66666666666666663</v>
          </cell>
          <cell r="E29">
            <v>9732101.1563347969</v>
          </cell>
        </row>
        <row r="30">
          <cell r="A30">
            <v>9</v>
          </cell>
          <cell r="B30">
            <v>4.5</v>
          </cell>
          <cell r="C30">
            <v>2.25</v>
          </cell>
          <cell r="D30">
            <v>0.75</v>
          </cell>
          <cell r="E30">
            <v>9698674.8141065035</v>
          </cell>
        </row>
        <row r="31">
          <cell r="A31">
            <v>10</v>
          </cell>
          <cell r="B31">
            <v>5</v>
          </cell>
          <cell r="C31">
            <v>2.5</v>
          </cell>
          <cell r="D31">
            <v>0.83333333333333337</v>
          </cell>
          <cell r="E31">
            <v>9665261.6185694747</v>
          </cell>
        </row>
        <row r="32">
          <cell r="A32">
            <v>11</v>
          </cell>
          <cell r="B32">
            <v>5.5</v>
          </cell>
          <cell r="C32">
            <v>2.75</v>
          </cell>
          <cell r="D32">
            <v>0.91666666666666663</v>
          </cell>
          <cell r="E32">
            <v>9631861.4460680503</v>
          </cell>
        </row>
        <row r="33">
          <cell r="A33">
            <v>12</v>
          </cell>
          <cell r="B33">
            <v>6</v>
          </cell>
          <cell r="C33">
            <v>3</v>
          </cell>
          <cell r="D33">
            <v>1</v>
          </cell>
          <cell r="E33">
            <v>9598474.1729037128</v>
          </cell>
        </row>
        <row r="34">
          <cell r="A34">
            <v>13</v>
          </cell>
          <cell r="B34">
            <v>6.5</v>
          </cell>
          <cell r="C34">
            <v>3.25</v>
          </cell>
          <cell r="D34">
            <v>1.0833333333333333</v>
          </cell>
          <cell r="E34">
            <v>9565099.675334556</v>
          </cell>
        </row>
        <row r="35">
          <cell r="A35">
            <v>14</v>
          </cell>
          <cell r="B35">
            <v>7</v>
          </cell>
          <cell r="C35">
            <v>3.5</v>
          </cell>
          <cell r="D35">
            <v>1.1666666666666667</v>
          </cell>
          <cell r="E35">
            <v>9531737.8295747545</v>
          </cell>
        </row>
        <row r="36">
          <cell r="A36">
            <v>15</v>
          </cell>
          <cell r="B36">
            <v>7.5</v>
          </cell>
          <cell r="C36">
            <v>3.75</v>
          </cell>
          <cell r="D36">
            <v>1.25</v>
          </cell>
          <cell r="E36">
            <v>9498388.5117940456</v>
          </cell>
        </row>
        <row r="37">
          <cell r="A37">
            <v>16</v>
          </cell>
          <cell r="B37">
            <v>8</v>
          </cell>
          <cell r="C37">
            <v>4</v>
          </cell>
          <cell r="D37">
            <v>1.3333333333333333</v>
          </cell>
          <cell r="E37">
            <v>9465051.5981171876</v>
          </cell>
        </row>
        <row r="38">
          <cell r="A38">
            <v>17</v>
          </cell>
          <cell r="B38">
            <v>8.5</v>
          </cell>
          <cell r="C38">
            <v>4.25</v>
          </cell>
          <cell r="D38">
            <v>1.4166666666666667</v>
          </cell>
          <cell r="E38">
            <v>9431726.9646234363</v>
          </cell>
        </row>
        <row r="39">
          <cell r="A39">
            <v>18</v>
          </cell>
          <cell r="B39">
            <v>9</v>
          </cell>
          <cell r="C39">
            <v>4.5</v>
          </cell>
          <cell r="D39">
            <v>1.5</v>
          </cell>
          <cell r="E39">
            <v>9398414.4873460103</v>
          </cell>
        </row>
        <row r="40">
          <cell r="A40">
            <v>19</v>
          </cell>
          <cell r="B40">
            <v>9.5</v>
          </cell>
          <cell r="C40">
            <v>4.75</v>
          </cell>
          <cell r="D40">
            <v>1.5833333333333333</v>
          </cell>
          <cell r="E40">
            <v>9365114.0422715619</v>
          </cell>
        </row>
        <row r="41">
          <cell r="A41">
            <v>20</v>
          </cell>
          <cell r="B41">
            <v>10</v>
          </cell>
          <cell r="C41">
            <v>5</v>
          </cell>
          <cell r="D41">
            <v>1.6666666666666667</v>
          </cell>
          <cell r="E41">
            <v>9331825.5053396411</v>
          </cell>
        </row>
        <row r="42">
          <cell r="A42">
            <v>21</v>
          </cell>
          <cell r="B42">
            <v>10.5</v>
          </cell>
          <cell r="C42">
            <v>5.25</v>
          </cell>
          <cell r="D42">
            <v>1.75</v>
          </cell>
          <cell r="E42">
            <v>9298548.7524421681</v>
          </cell>
        </row>
        <row r="43">
          <cell r="A43">
            <v>22</v>
          </cell>
          <cell r="B43">
            <v>11</v>
          </cell>
          <cell r="C43">
            <v>5.5</v>
          </cell>
          <cell r="D43">
            <v>1.8333333333333333</v>
          </cell>
          <cell r="E43">
            <v>9265283.6594228987</v>
          </cell>
        </row>
        <row r="44">
          <cell r="A44">
            <v>23</v>
          </cell>
          <cell r="B44">
            <v>11.5</v>
          </cell>
          <cell r="C44">
            <v>5.75</v>
          </cell>
          <cell r="D44">
            <v>1.9166666666666667</v>
          </cell>
          <cell r="E44">
            <v>9232030.1020768862</v>
          </cell>
        </row>
        <row r="45">
          <cell r="A45">
            <v>24</v>
          </cell>
          <cell r="B45">
            <v>12</v>
          </cell>
          <cell r="C45">
            <v>6</v>
          </cell>
          <cell r="D45">
            <v>2</v>
          </cell>
          <cell r="E45">
            <v>9198787.9561499488</v>
          </cell>
        </row>
        <row r="46">
          <cell r="A46">
            <v>25</v>
          </cell>
          <cell r="B46">
            <v>12.5</v>
          </cell>
          <cell r="C46">
            <v>6.25</v>
          </cell>
          <cell r="D46">
            <v>2.0833333333333335</v>
          </cell>
          <cell r="E46">
            <v>9165557.0973381363</v>
          </cell>
        </row>
        <row r="47">
          <cell r="A47">
            <v>26</v>
          </cell>
          <cell r="B47">
            <v>13</v>
          </cell>
          <cell r="C47">
            <v>6.5</v>
          </cell>
          <cell r="D47">
            <v>2.1666666666666665</v>
          </cell>
          <cell r="E47">
            <v>9132337.4012871943</v>
          </cell>
        </row>
        <row r="48">
          <cell r="A48">
            <v>27</v>
          </cell>
          <cell r="B48">
            <v>13.5</v>
          </cell>
          <cell r="C48">
            <v>6.75</v>
          </cell>
          <cell r="D48">
            <v>2.25</v>
          </cell>
          <cell r="E48">
            <v>9099128.7435920238</v>
          </cell>
        </row>
        <row r="49">
          <cell r="A49">
            <v>28</v>
          </cell>
          <cell r="B49">
            <v>14</v>
          </cell>
          <cell r="C49">
            <v>7</v>
          </cell>
          <cell r="D49">
            <v>2.3333333333333335</v>
          </cell>
          <cell r="E49">
            <v>9065930.9997961484</v>
          </cell>
        </row>
        <row r="50">
          <cell r="A50">
            <v>29</v>
          </cell>
          <cell r="B50">
            <v>14.5</v>
          </cell>
          <cell r="C50">
            <v>7.25</v>
          </cell>
          <cell r="D50">
            <v>2.4166666666666665</v>
          </cell>
          <cell r="E50">
            <v>9032744.0453911759</v>
          </cell>
        </row>
        <row r="51">
          <cell r="A51">
            <v>30</v>
          </cell>
          <cell r="B51">
            <v>15</v>
          </cell>
          <cell r="C51">
            <v>7.5</v>
          </cell>
          <cell r="D51">
            <v>2.5</v>
          </cell>
          <cell r="E51">
            <v>8999567.7558162566</v>
          </cell>
        </row>
        <row r="52">
          <cell r="A52">
            <v>31</v>
          </cell>
          <cell r="B52">
            <v>15.5</v>
          </cell>
          <cell r="C52">
            <v>7.75</v>
          </cell>
          <cell r="D52">
            <v>2.5833333333333335</v>
          </cell>
          <cell r="E52">
            <v>8966402.0064575505</v>
          </cell>
        </row>
        <row r="53">
          <cell r="A53">
            <v>32</v>
          </cell>
          <cell r="B53">
            <v>16</v>
          </cell>
          <cell r="C53">
            <v>8</v>
          </cell>
          <cell r="D53">
            <v>2.6666666666666665</v>
          </cell>
          <cell r="E53">
            <v>8933246.6726476811</v>
          </cell>
        </row>
        <row r="54">
          <cell r="A54">
            <v>33</v>
          </cell>
          <cell r="B54">
            <v>16.5</v>
          </cell>
          <cell r="C54">
            <v>8.25</v>
          </cell>
          <cell r="D54">
            <v>2.75</v>
          </cell>
          <cell r="E54">
            <v>8900101.6296651978</v>
          </cell>
        </row>
        <row r="55">
          <cell r="A55">
            <v>34</v>
          </cell>
          <cell r="B55">
            <v>17</v>
          </cell>
          <cell r="C55">
            <v>8.5</v>
          </cell>
          <cell r="D55">
            <v>2.8333333333333335</v>
          </cell>
          <cell r="E55">
            <v>8866966.752734039</v>
          </cell>
        </row>
        <row r="56">
          <cell r="A56">
            <v>35</v>
          </cell>
          <cell r="B56">
            <v>17.5</v>
          </cell>
          <cell r="C56">
            <v>8.75</v>
          </cell>
          <cell r="D56">
            <v>2.9166666666666665</v>
          </cell>
          <cell r="E56">
            <v>8833841.9170229845</v>
          </cell>
        </row>
        <row r="57">
          <cell r="A57">
            <v>36</v>
          </cell>
          <cell r="B57">
            <v>18</v>
          </cell>
          <cell r="C57">
            <v>9</v>
          </cell>
          <cell r="D57">
            <v>3</v>
          </cell>
          <cell r="E57">
            <v>8800726.9976451173</v>
          </cell>
        </row>
        <row r="58">
          <cell r="A58">
            <v>37</v>
          </cell>
          <cell r="B58">
            <v>18.5</v>
          </cell>
          <cell r="C58">
            <v>9.25</v>
          </cell>
          <cell r="D58">
            <v>3.0833333333333335</v>
          </cell>
          <cell r="E58">
            <v>8767621.8696572781</v>
          </cell>
        </row>
        <row r="59">
          <cell r="A59">
            <v>38</v>
          </cell>
          <cell r="B59">
            <v>19</v>
          </cell>
          <cell r="C59">
            <v>9.5</v>
          </cell>
          <cell r="D59">
            <v>3.1666666666666665</v>
          </cell>
          <cell r="E59">
            <v>8734526.4080595281</v>
          </cell>
        </row>
        <row r="60">
          <cell r="A60">
            <v>39</v>
          </cell>
          <cell r="B60">
            <v>19.5</v>
          </cell>
          <cell r="C60">
            <v>9.75</v>
          </cell>
          <cell r="D60">
            <v>3.25</v>
          </cell>
          <cell r="E60">
            <v>8701440.4877945948</v>
          </cell>
        </row>
        <row r="61">
          <cell r="A61">
            <v>40</v>
          </cell>
          <cell r="B61">
            <v>20</v>
          </cell>
          <cell r="C61">
            <v>10</v>
          </cell>
          <cell r="D61">
            <v>3.3333333333333335</v>
          </cell>
          <cell r="E61">
            <v>8668363.983747337</v>
          </cell>
        </row>
        <row r="62">
          <cell r="A62">
            <v>41</v>
          </cell>
          <cell r="B62">
            <v>20.5</v>
          </cell>
          <cell r="C62">
            <v>10.25</v>
          </cell>
          <cell r="D62">
            <v>3.4166666666666665</v>
          </cell>
          <cell r="E62">
            <v>8635296.7707441933</v>
          </cell>
        </row>
        <row r="63">
          <cell r="A63">
            <v>42</v>
          </cell>
          <cell r="B63">
            <v>21</v>
          </cell>
          <cell r="C63">
            <v>10.5</v>
          </cell>
          <cell r="D63">
            <v>3.5</v>
          </cell>
          <cell r="E63">
            <v>8602238.7235526405</v>
          </cell>
        </row>
        <row r="64">
          <cell r="A64">
            <v>43</v>
          </cell>
          <cell r="B64">
            <v>21.5</v>
          </cell>
          <cell r="C64">
            <v>10.75</v>
          </cell>
          <cell r="D64">
            <v>3.5833333333333335</v>
          </cell>
          <cell r="E64">
            <v>8569189.7168806437</v>
          </cell>
        </row>
        <row r="65">
          <cell r="A65">
            <v>44</v>
          </cell>
          <cell r="B65">
            <v>22</v>
          </cell>
          <cell r="C65">
            <v>11</v>
          </cell>
          <cell r="D65">
            <v>3.6666666666666665</v>
          </cell>
          <cell r="E65">
            <v>8536149.6253761109</v>
          </cell>
        </row>
        <row r="66">
          <cell r="A66">
            <v>45</v>
          </cell>
          <cell r="B66">
            <v>22.5</v>
          </cell>
          <cell r="C66">
            <v>11.25</v>
          </cell>
          <cell r="D66">
            <v>3.75</v>
          </cell>
          <cell r="E66">
            <v>8503118.3236263432</v>
          </cell>
        </row>
        <row r="67">
          <cell r="A67">
            <v>46</v>
          </cell>
          <cell r="B67">
            <v>23</v>
          </cell>
          <cell r="C67">
            <v>11.5</v>
          </cell>
          <cell r="D67">
            <v>3.8333333333333335</v>
          </cell>
          <cell r="E67">
            <v>8470095.6861574873</v>
          </cell>
        </row>
        <row r="68">
          <cell r="A68">
            <v>47</v>
          </cell>
          <cell r="B68">
            <v>23.5</v>
          </cell>
          <cell r="C68">
            <v>11.75</v>
          </cell>
          <cell r="D68">
            <v>3.9166666666666665</v>
          </cell>
          <cell r="E68">
            <v>8437081.5874339882</v>
          </cell>
        </row>
        <row r="69">
          <cell r="A69">
            <v>48</v>
          </cell>
          <cell r="B69">
            <v>24</v>
          </cell>
          <cell r="C69">
            <v>12</v>
          </cell>
          <cell r="D69">
            <v>4</v>
          </cell>
          <cell r="E69">
            <v>8404075.9018580355</v>
          </cell>
        </row>
        <row r="70">
          <cell r="A70">
            <v>49</v>
          </cell>
          <cell r="B70">
            <v>24.5</v>
          </cell>
          <cell r="C70">
            <v>12.25</v>
          </cell>
          <cell r="D70">
            <v>4.083333333333333</v>
          </cell>
          <cell r="E70">
            <v>8371078.5037690159</v>
          </cell>
        </row>
        <row r="71">
          <cell r="A71">
            <v>50</v>
          </cell>
          <cell r="B71">
            <v>25</v>
          </cell>
          <cell r="C71">
            <v>12.5</v>
          </cell>
          <cell r="D71">
            <v>4.166666666666667</v>
          </cell>
          <cell r="E71">
            <v>8338089.2674429603</v>
          </cell>
        </row>
        <row r="72">
          <cell r="A72">
            <v>51</v>
          </cell>
          <cell r="B72">
            <v>25.5</v>
          </cell>
          <cell r="C72">
            <v>12.75</v>
          </cell>
          <cell r="D72">
            <v>4.25</v>
          </cell>
          <cell r="E72">
            <v>8305108.0670919931</v>
          </cell>
        </row>
        <row r="73">
          <cell r="A73">
            <v>52</v>
          </cell>
          <cell r="B73">
            <v>26</v>
          </cell>
          <cell r="C73">
            <v>13</v>
          </cell>
          <cell r="D73">
            <v>4.333333333333333</v>
          </cell>
          <cell r="E73">
            <v>8272134.776863778</v>
          </cell>
        </row>
        <row r="74">
          <cell r="A74">
            <v>53</v>
          </cell>
          <cell r="B74">
            <v>26.5</v>
          </cell>
          <cell r="C74">
            <v>13.25</v>
          </cell>
          <cell r="D74">
            <v>4.416666666666667</v>
          </cell>
          <cell r="E74">
            <v>8239169.2708409661</v>
          </cell>
        </row>
        <row r="75">
          <cell r="A75">
            <v>54</v>
          </cell>
          <cell r="B75">
            <v>27</v>
          </cell>
          <cell r="C75">
            <v>13.5</v>
          </cell>
          <cell r="D75">
            <v>4.5</v>
          </cell>
          <cell r="E75">
            <v>8206211.4230406405</v>
          </cell>
        </row>
        <row r="76">
          <cell r="A76">
            <v>55</v>
          </cell>
          <cell r="B76">
            <v>27.5</v>
          </cell>
          <cell r="C76">
            <v>13.75</v>
          </cell>
          <cell r="D76">
            <v>4.583333333333333</v>
          </cell>
          <cell r="E76">
            <v>8173261.1074137632</v>
          </cell>
        </row>
        <row r="77">
          <cell r="A77">
            <v>56</v>
          </cell>
          <cell r="B77">
            <v>28</v>
          </cell>
          <cell r="C77">
            <v>14</v>
          </cell>
          <cell r="D77">
            <v>4.666666666666667</v>
          </cell>
          <cell r="E77">
            <v>8140318.197844618</v>
          </cell>
        </row>
        <row r="78">
          <cell r="A78">
            <v>57</v>
          </cell>
          <cell r="B78">
            <v>28.5</v>
          </cell>
          <cell r="C78">
            <v>14.25</v>
          </cell>
          <cell r="D78">
            <v>4.75</v>
          </cell>
          <cell r="E78">
            <v>8107382.5681502568</v>
          </cell>
        </row>
        <row r="79">
          <cell r="A79">
            <v>58</v>
          </cell>
          <cell r="B79">
            <v>29</v>
          </cell>
          <cell r="C79">
            <v>14.5</v>
          </cell>
          <cell r="D79">
            <v>4.833333333333333</v>
          </cell>
          <cell r="E79">
            <v>8074454.0920799393</v>
          </cell>
        </row>
        <row r="80">
          <cell r="A80">
            <v>59</v>
          </cell>
          <cell r="B80">
            <v>29.5</v>
          </cell>
          <cell r="C80">
            <v>14.75</v>
          </cell>
          <cell r="D80">
            <v>4.916666666666667</v>
          </cell>
          <cell r="E80">
            <v>8041532.6433145804</v>
          </cell>
        </row>
        <row r="81">
          <cell r="A81">
            <v>60</v>
          </cell>
          <cell r="B81">
            <v>30</v>
          </cell>
          <cell r="C81">
            <v>15</v>
          </cell>
          <cell r="D81">
            <v>5</v>
          </cell>
          <cell r="E81">
            <v>8008618.0954661872</v>
          </cell>
        </row>
        <row r="82">
          <cell r="A82">
            <v>61</v>
          </cell>
          <cell r="B82">
            <v>30.5</v>
          </cell>
          <cell r="C82">
            <v>15.25</v>
          </cell>
          <cell r="D82">
            <v>5.083333333333333</v>
          </cell>
          <cell r="E82">
            <v>7975710.3220773023</v>
          </cell>
        </row>
        <row r="83">
          <cell r="A83">
            <v>62</v>
          </cell>
          <cell r="B83">
            <v>31</v>
          </cell>
          <cell r="C83">
            <v>15.5</v>
          </cell>
          <cell r="D83">
            <v>5.166666666666667</v>
          </cell>
          <cell r="E83">
            <v>7942809.1966204448</v>
          </cell>
        </row>
        <row r="84">
          <cell r="A84">
            <v>63</v>
          </cell>
          <cell r="B84">
            <v>31.5</v>
          </cell>
          <cell r="C84">
            <v>15.75</v>
          </cell>
          <cell r="D84">
            <v>5.25</v>
          </cell>
          <cell r="E84">
            <v>7909914.592497549</v>
          </cell>
        </row>
        <row r="85">
          <cell r="A85">
            <v>64</v>
          </cell>
          <cell r="B85">
            <v>32</v>
          </cell>
          <cell r="C85">
            <v>16</v>
          </cell>
          <cell r="D85">
            <v>5.333333333333333</v>
          </cell>
          <cell r="E85">
            <v>7877026.3830394037</v>
          </cell>
        </row>
        <row r="86">
          <cell r="A86">
            <v>65</v>
          </cell>
          <cell r="B86">
            <v>32.5</v>
          </cell>
          <cell r="C86">
            <v>16.25</v>
          </cell>
          <cell r="D86">
            <v>5.416666666666667</v>
          </cell>
          <cell r="E86">
            <v>7844144.4415050922</v>
          </cell>
        </row>
        <row r="87">
          <cell r="A87">
            <v>66</v>
          </cell>
          <cell r="B87">
            <v>33</v>
          </cell>
          <cell r="C87">
            <v>16.5</v>
          </cell>
          <cell r="D87">
            <v>5.5</v>
          </cell>
          <cell r="E87">
            <v>7811268.6410814244</v>
          </cell>
        </row>
        <row r="88">
          <cell r="A88">
            <v>67</v>
          </cell>
          <cell r="B88">
            <v>33.5</v>
          </cell>
          <cell r="C88">
            <v>16.75</v>
          </cell>
          <cell r="D88">
            <v>5.583333333333333</v>
          </cell>
          <cell r="E88">
            <v>7778398.8548823819</v>
          </cell>
        </row>
        <row r="89">
          <cell r="A89">
            <v>68</v>
          </cell>
          <cell r="B89">
            <v>34</v>
          </cell>
          <cell r="C89">
            <v>17</v>
          </cell>
          <cell r="D89">
            <v>5.666666666666667</v>
          </cell>
          <cell r="E89">
            <v>7745534.9559485456</v>
          </cell>
        </row>
        <row r="90">
          <cell r="A90">
            <v>69</v>
          </cell>
          <cell r="B90">
            <v>34.5</v>
          </cell>
          <cell r="C90">
            <v>17.25</v>
          </cell>
          <cell r="D90">
            <v>5.75</v>
          </cell>
          <cell r="E90">
            <v>7712676.8172465377</v>
          </cell>
        </row>
        <row r="91">
          <cell r="A91">
            <v>70</v>
          </cell>
          <cell r="B91">
            <v>35</v>
          </cell>
          <cell r="C91">
            <v>17.5</v>
          </cell>
          <cell r="D91">
            <v>5.833333333333333</v>
          </cell>
          <cell r="E91">
            <v>7679824.3116684528</v>
          </cell>
        </row>
        <row r="92">
          <cell r="A92">
            <v>71</v>
          </cell>
          <cell r="B92">
            <v>35.5</v>
          </cell>
          <cell r="C92">
            <v>17.75</v>
          </cell>
          <cell r="D92">
            <v>5.916666666666667</v>
          </cell>
          <cell r="E92">
            <v>7646977.3120312933</v>
          </cell>
        </row>
        <row r="93">
          <cell r="A93">
            <v>72</v>
          </cell>
          <cell r="B93">
            <v>36</v>
          </cell>
          <cell r="C93">
            <v>18</v>
          </cell>
          <cell r="D93">
            <v>6</v>
          </cell>
          <cell r="E93">
            <v>7614135.6910764026</v>
          </cell>
        </row>
        <row r="94">
          <cell r="A94">
            <v>73</v>
          </cell>
          <cell r="B94">
            <v>36.5</v>
          </cell>
          <cell r="C94">
            <v>18.25</v>
          </cell>
          <cell r="D94">
            <v>6.083333333333333</v>
          </cell>
          <cell r="E94">
            <v>7581299.3214688962</v>
          </cell>
        </row>
        <row r="95">
          <cell r="A95">
            <v>74</v>
          </cell>
          <cell r="B95">
            <v>37</v>
          </cell>
          <cell r="C95">
            <v>18.5</v>
          </cell>
          <cell r="D95">
            <v>6.166666666666667</v>
          </cell>
          <cell r="E95">
            <v>7548468.075797094</v>
          </cell>
        </row>
        <row r="96">
          <cell r="A96">
            <v>75</v>
          </cell>
          <cell r="B96">
            <v>37.5</v>
          </cell>
          <cell r="C96">
            <v>18.75</v>
          </cell>
          <cell r="D96">
            <v>6.25</v>
          </cell>
          <cell r="E96">
            <v>7515641.8265719535</v>
          </cell>
        </row>
        <row r="97">
          <cell r="A97">
            <v>76</v>
          </cell>
          <cell r="B97">
            <v>38</v>
          </cell>
          <cell r="C97">
            <v>19</v>
          </cell>
          <cell r="D97">
            <v>6.333333333333333</v>
          </cell>
          <cell r="E97">
            <v>7482820.4462264953</v>
          </cell>
        </row>
        <row r="98">
          <cell r="A98">
            <v>77</v>
          </cell>
          <cell r="B98">
            <v>38.5</v>
          </cell>
          <cell r="C98">
            <v>19.25</v>
          </cell>
          <cell r="D98">
            <v>6.416666666666667</v>
          </cell>
          <cell r="E98">
            <v>7450003.8071152372</v>
          </cell>
        </row>
        <row r="99">
          <cell r="A99">
            <v>78</v>
          </cell>
          <cell r="B99">
            <v>39</v>
          </cell>
          <cell r="C99">
            <v>19.5</v>
          </cell>
          <cell r="D99">
            <v>6.5</v>
          </cell>
          <cell r="E99">
            <v>7417191.7815136211</v>
          </cell>
        </row>
        <row r="100">
          <cell r="A100">
            <v>79</v>
          </cell>
          <cell r="B100">
            <v>39.5</v>
          </cell>
          <cell r="C100">
            <v>19.75</v>
          </cell>
          <cell r="D100">
            <v>6.583333333333333</v>
          </cell>
          <cell r="E100">
            <v>7384384.2416174393</v>
          </cell>
        </row>
        <row r="101">
          <cell r="A101">
            <v>80</v>
          </cell>
          <cell r="B101">
            <v>40</v>
          </cell>
          <cell r="C101">
            <v>20</v>
          </cell>
          <cell r="D101">
            <v>6.666666666666667</v>
          </cell>
          <cell r="E101">
            <v>7351581.0595422657</v>
          </cell>
        </row>
        <row r="102">
          <cell r="A102">
            <v>81</v>
          </cell>
          <cell r="B102">
            <v>40.5</v>
          </cell>
          <cell r="C102">
            <v>20.25</v>
          </cell>
          <cell r="D102">
            <v>6.75</v>
          </cell>
          <cell r="E102">
            <v>7318782.1073228791</v>
          </cell>
        </row>
        <row r="103">
          <cell r="A103">
            <v>82</v>
          </cell>
          <cell r="B103">
            <v>41</v>
          </cell>
          <cell r="C103">
            <v>20.5</v>
          </cell>
          <cell r="D103">
            <v>6.833333333333333</v>
          </cell>
          <cell r="E103">
            <v>7285987.2569126887</v>
          </cell>
        </row>
        <row r="104">
          <cell r="A104">
            <v>83</v>
          </cell>
          <cell r="B104">
            <v>41.5</v>
          </cell>
          <cell r="C104">
            <v>20.75</v>
          </cell>
          <cell r="D104">
            <v>6.916666666666667</v>
          </cell>
          <cell r="E104">
            <v>7253196.3801831612</v>
          </cell>
        </row>
        <row r="105">
          <cell r="A105">
            <v>84</v>
          </cell>
          <cell r="B105">
            <v>42</v>
          </cell>
          <cell r="C105">
            <v>21</v>
          </cell>
          <cell r="D105">
            <v>7</v>
          </cell>
          <cell r="E105">
            <v>7220409.3489232436</v>
          </cell>
        </row>
        <row r="106">
          <cell r="A106">
            <v>85</v>
          </cell>
          <cell r="B106">
            <v>42.5</v>
          </cell>
          <cell r="C106">
            <v>21.25</v>
          </cell>
          <cell r="D106">
            <v>7.083333333333333</v>
          </cell>
          <cell r="E106">
            <v>7187626.0348387863</v>
          </cell>
        </row>
        <row r="107">
          <cell r="A107">
            <v>86</v>
          </cell>
          <cell r="B107">
            <v>43</v>
          </cell>
          <cell r="C107">
            <v>21.5</v>
          </cell>
          <cell r="D107">
            <v>7.166666666666667</v>
          </cell>
          <cell r="E107">
            <v>7154846.3095519664</v>
          </cell>
        </row>
        <row r="108">
          <cell r="A108">
            <v>87</v>
          </cell>
          <cell r="B108">
            <v>43.5</v>
          </cell>
          <cell r="C108">
            <v>21.75</v>
          </cell>
          <cell r="D108">
            <v>7.25</v>
          </cell>
          <cell r="E108">
            <v>7122070.0446007084</v>
          </cell>
        </row>
        <row r="109">
          <cell r="A109">
            <v>88</v>
          </cell>
          <cell r="B109">
            <v>44</v>
          </cell>
          <cell r="C109">
            <v>22</v>
          </cell>
          <cell r="D109">
            <v>7.333333333333333</v>
          </cell>
          <cell r="E109">
            <v>7089297.1114381086</v>
          </cell>
        </row>
        <row r="110">
          <cell r="A110">
            <v>89</v>
          </cell>
          <cell r="B110">
            <v>44.5</v>
          </cell>
          <cell r="C110">
            <v>22.25</v>
          </cell>
          <cell r="D110">
            <v>7.416666666666667</v>
          </cell>
          <cell r="E110">
            <v>7056527.3814318487</v>
          </cell>
        </row>
        <row r="111">
          <cell r="A111">
            <v>90</v>
          </cell>
          <cell r="B111">
            <v>45</v>
          </cell>
          <cell r="C111">
            <v>22.5</v>
          </cell>
          <cell r="D111">
            <v>7.5</v>
          </cell>
          <cell r="E111">
            <v>7023760.7258636244</v>
          </cell>
        </row>
        <row r="112">
          <cell r="A112">
            <v>91</v>
          </cell>
          <cell r="B112">
            <v>45.5</v>
          </cell>
          <cell r="C112">
            <v>22.75</v>
          </cell>
          <cell r="D112">
            <v>7.583333333333333</v>
          </cell>
          <cell r="E112">
            <v>6990997.0159285553</v>
          </cell>
        </row>
        <row r="113">
          <cell r="A113">
            <v>92</v>
          </cell>
          <cell r="B113">
            <v>46</v>
          </cell>
          <cell r="C113">
            <v>23</v>
          </cell>
          <cell r="D113">
            <v>7.666666666666667</v>
          </cell>
          <cell r="E113">
            <v>6958236.1227346072</v>
          </cell>
        </row>
        <row r="114">
          <cell r="A114">
            <v>93</v>
          </cell>
          <cell r="B114">
            <v>46.5</v>
          </cell>
          <cell r="C114">
            <v>23.25</v>
          </cell>
          <cell r="D114">
            <v>7.75</v>
          </cell>
          <cell r="E114">
            <v>6925477.9173020106</v>
          </cell>
        </row>
        <row r="115">
          <cell r="A115">
            <v>94</v>
          </cell>
          <cell r="B115">
            <v>47</v>
          </cell>
          <cell r="C115">
            <v>23.5</v>
          </cell>
          <cell r="D115">
            <v>7.833333333333333</v>
          </cell>
          <cell r="E115">
            <v>6892722.270562673</v>
          </cell>
        </row>
        <row r="116">
          <cell r="A116">
            <v>95</v>
          </cell>
          <cell r="B116">
            <v>47.5</v>
          </cell>
          <cell r="C116">
            <v>23.75</v>
          </cell>
          <cell r="D116">
            <v>7.916666666666667</v>
          </cell>
          <cell r="E116">
            <v>6859969.053359597</v>
          </cell>
        </row>
        <row r="117">
          <cell r="A117">
            <v>96</v>
          </cell>
          <cell r="B117">
            <v>48</v>
          </cell>
          <cell r="C117">
            <v>24</v>
          </cell>
          <cell r="D117">
            <v>8</v>
          </cell>
          <cell r="E117">
            <v>6827218.1364462934</v>
          </cell>
        </row>
        <row r="118">
          <cell r="A118">
            <v>97</v>
          </cell>
          <cell r="B118">
            <v>48.5</v>
          </cell>
          <cell r="C118">
            <v>24.25</v>
          </cell>
          <cell r="D118">
            <v>8.0833333333333339</v>
          </cell>
          <cell r="E118">
            <v>6794469.3904861985</v>
          </cell>
        </row>
        <row r="119">
          <cell r="A119">
            <v>98</v>
          </cell>
          <cell r="B119">
            <v>49</v>
          </cell>
          <cell r="C119">
            <v>24.5</v>
          </cell>
          <cell r="D119">
            <v>8.1666666666666661</v>
          </cell>
          <cell r="E119">
            <v>6761722.6860520821</v>
          </cell>
        </row>
        <row r="120">
          <cell r="A120">
            <v>99</v>
          </cell>
          <cell r="B120">
            <v>49.5</v>
          </cell>
          <cell r="C120">
            <v>24.75</v>
          </cell>
          <cell r="D120">
            <v>8.25</v>
          </cell>
          <cell r="E120">
            <v>6728977.8936254634</v>
          </cell>
        </row>
        <row r="121">
          <cell r="A121">
            <v>100</v>
          </cell>
          <cell r="B121">
            <v>50</v>
          </cell>
          <cell r="C121">
            <v>25</v>
          </cell>
          <cell r="D121">
            <v>8.3333333333333339</v>
          </cell>
          <cell r="E121">
            <v>6696234.8835960208</v>
          </cell>
        </row>
        <row r="122">
          <cell r="A122">
            <v>101</v>
          </cell>
          <cell r="B122">
            <v>50.5</v>
          </cell>
          <cell r="C122">
            <v>25.25</v>
          </cell>
          <cell r="D122">
            <v>8.4166666666666661</v>
          </cell>
          <cell r="E122">
            <v>6663493.5262610037</v>
          </cell>
        </row>
        <row r="123">
          <cell r="A123">
            <v>102</v>
          </cell>
          <cell r="B123">
            <v>51</v>
          </cell>
          <cell r="C123">
            <v>25.5</v>
          </cell>
          <cell r="D123">
            <v>8.5</v>
          </cell>
          <cell r="E123">
            <v>6630753.6918246411</v>
          </cell>
        </row>
        <row r="124">
          <cell r="A124">
            <v>103</v>
          </cell>
          <cell r="B124">
            <v>51.5</v>
          </cell>
          <cell r="C124">
            <v>25.75</v>
          </cell>
          <cell r="D124">
            <v>8.5833333333333339</v>
          </cell>
          <cell r="E124">
            <v>6598015.2503975527</v>
          </cell>
        </row>
        <row r="125">
          <cell r="A125">
            <v>104</v>
          </cell>
          <cell r="B125">
            <v>52</v>
          </cell>
          <cell r="C125">
            <v>26</v>
          </cell>
          <cell r="D125">
            <v>8.6666666666666661</v>
          </cell>
          <cell r="E125">
            <v>6565278.0719961524</v>
          </cell>
        </row>
        <row r="126">
          <cell r="A126">
            <v>105</v>
          </cell>
          <cell r="B126">
            <v>52.5</v>
          </cell>
          <cell r="C126">
            <v>26.25</v>
          </cell>
          <cell r="D126">
            <v>8.75</v>
          </cell>
          <cell r="E126">
            <v>6532542.0265420619</v>
          </cell>
        </row>
        <row r="127">
          <cell r="A127">
            <v>106</v>
          </cell>
          <cell r="B127">
            <v>53</v>
          </cell>
          <cell r="C127">
            <v>26.5</v>
          </cell>
          <cell r="D127">
            <v>8.8333333333333339</v>
          </cell>
          <cell r="E127">
            <v>6499806.9838615116</v>
          </cell>
        </row>
        <row r="128">
          <cell r="A128">
            <v>107</v>
          </cell>
          <cell r="B128">
            <v>53.5</v>
          </cell>
          <cell r="C128">
            <v>26.75</v>
          </cell>
          <cell r="D128">
            <v>8.9166666666666661</v>
          </cell>
          <cell r="E128">
            <v>6467072.8136847494</v>
          </cell>
        </row>
        <row r="129">
          <cell r="A129">
            <v>108</v>
          </cell>
          <cell r="B129">
            <v>54</v>
          </cell>
          <cell r="C129">
            <v>27</v>
          </cell>
          <cell r="D129">
            <v>9</v>
          </cell>
          <cell r="E129">
            <v>6434339.3856454454</v>
          </cell>
        </row>
        <row r="130">
          <cell r="A130">
            <v>109</v>
          </cell>
          <cell r="B130">
            <v>54.5</v>
          </cell>
          <cell r="C130">
            <v>27.25</v>
          </cell>
          <cell r="D130">
            <v>9.0833333333333339</v>
          </cell>
          <cell r="E130">
            <v>6401606.5692800935</v>
          </cell>
        </row>
        <row r="131">
          <cell r="A131">
            <v>110</v>
          </cell>
          <cell r="B131">
            <v>55</v>
          </cell>
          <cell r="C131">
            <v>27.5</v>
          </cell>
          <cell r="D131">
            <v>9.1666666666666661</v>
          </cell>
          <cell r="E131">
            <v>6368874.2340274164</v>
          </cell>
        </row>
        <row r="132">
          <cell r="A132">
            <v>111</v>
          </cell>
          <cell r="B132">
            <v>55.5</v>
          </cell>
          <cell r="C132">
            <v>27.75</v>
          </cell>
          <cell r="D132">
            <v>9.25</v>
          </cell>
          <cell r="E132">
            <v>6336142.2492277697</v>
          </cell>
        </row>
        <row r="133">
          <cell r="A133">
            <v>112</v>
          </cell>
          <cell r="B133">
            <v>56</v>
          </cell>
          <cell r="C133">
            <v>28</v>
          </cell>
          <cell r="D133">
            <v>9.3333333333333339</v>
          </cell>
          <cell r="E133">
            <v>6303410.484122538</v>
          </cell>
        </row>
        <row r="134">
          <cell r="A134">
            <v>113</v>
          </cell>
          <cell r="B134">
            <v>56.5</v>
          </cell>
          <cell r="C134">
            <v>28.25</v>
          </cell>
          <cell r="D134">
            <v>9.4166666666666661</v>
          </cell>
          <cell r="E134">
            <v>6270678.8078535413</v>
          </cell>
        </row>
        <row r="135">
          <cell r="A135">
            <v>114</v>
          </cell>
          <cell r="B135">
            <v>57</v>
          </cell>
          <cell r="C135">
            <v>28.5</v>
          </cell>
          <cell r="D135">
            <v>9.5</v>
          </cell>
          <cell r="E135">
            <v>6237947.0894624302</v>
          </cell>
        </row>
        <row r="136">
          <cell r="A136">
            <v>115</v>
          </cell>
          <cell r="B136">
            <v>57.5</v>
          </cell>
          <cell r="C136">
            <v>28.75</v>
          </cell>
          <cell r="D136">
            <v>9.5833333333333339</v>
          </cell>
          <cell r="E136">
            <v>6205215.197890087</v>
          </cell>
        </row>
        <row r="137">
          <cell r="A137">
            <v>116</v>
          </cell>
          <cell r="B137">
            <v>58</v>
          </cell>
          <cell r="C137">
            <v>29</v>
          </cell>
          <cell r="D137">
            <v>9.6666666666666661</v>
          </cell>
          <cell r="E137">
            <v>6172483.0019760225</v>
          </cell>
        </row>
        <row r="138">
          <cell r="A138">
            <v>117</v>
          </cell>
          <cell r="B138">
            <v>58.5</v>
          </cell>
          <cell r="C138">
            <v>29.25</v>
          </cell>
          <cell r="D138">
            <v>9.75</v>
          </cell>
          <cell r="E138">
            <v>6139750.3704577759</v>
          </cell>
        </row>
        <row r="139">
          <cell r="A139">
            <v>118</v>
          </cell>
          <cell r="B139">
            <v>59</v>
          </cell>
          <cell r="C139">
            <v>29.5</v>
          </cell>
          <cell r="D139">
            <v>9.8333333333333339</v>
          </cell>
          <cell r="E139">
            <v>6107017.171970306</v>
          </cell>
        </row>
        <row r="140">
          <cell r="A140">
            <v>119</v>
          </cell>
          <cell r="B140">
            <v>59.5</v>
          </cell>
          <cell r="C140">
            <v>29.75</v>
          </cell>
          <cell r="D140">
            <v>9.9166666666666661</v>
          </cell>
          <cell r="E140">
            <v>6074283.2750453912</v>
          </cell>
        </row>
        <row r="141">
          <cell r="A141">
            <v>120</v>
          </cell>
          <cell r="B141">
            <v>60</v>
          </cell>
          <cell r="C141">
            <v>30</v>
          </cell>
          <cell r="D141">
            <v>10</v>
          </cell>
          <cell r="E141">
            <v>6041548.5481110215</v>
          </cell>
        </row>
        <row r="142">
          <cell r="A142">
            <v>121</v>
          </cell>
          <cell r="B142">
            <v>60.5</v>
          </cell>
          <cell r="C142">
            <v>30.25</v>
          </cell>
          <cell r="D142">
            <v>10.083333333333334</v>
          </cell>
          <cell r="E142">
            <v>6008812.8594907923</v>
          </cell>
        </row>
        <row r="143">
          <cell r="A143">
            <v>122</v>
          </cell>
          <cell r="B143">
            <v>61</v>
          </cell>
          <cell r="C143">
            <v>30.5</v>
          </cell>
          <cell r="D143">
            <v>10.166666666666666</v>
          </cell>
          <cell r="E143">
            <v>5976076.0774032995</v>
          </cell>
        </row>
        <row r="144">
          <cell r="A144">
            <v>123</v>
          </cell>
          <cell r="B144">
            <v>61.5</v>
          </cell>
          <cell r="C144">
            <v>30.75</v>
          </cell>
          <cell r="D144">
            <v>10.25</v>
          </cell>
          <cell r="E144">
            <v>5943338.0699615274</v>
          </cell>
        </row>
        <row r="145">
          <cell r="A145">
            <v>124</v>
          </cell>
          <cell r="B145">
            <v>62</v>
          </cell>
          <cell r="C145">
            <v>31</v>
          </cell>
          <cell r="D145">
            <v>10.333333333333334</v>
          </cell>
          <cell r="E145">
            <v>5910598.7051722417</v>
          </cell>
        </row>
        <row r="146">
          <cell r="A146">
            <v>125</v>
          </cell>
          <cell r="B146">
            <v>62.5</v>
          </cell>
          <cell r="C146">
            <v>31.25</v>
          </cell>
          <cell r="D146">
            <v>10.416666666666666</v>
          </cell>
          <cell r="E146">
            <v>5877857.85093538</v>
          </cell>
        </row>
        <row r="147">
          <cell r="A147">
            <v>126</v>
          </cell>
          <cell r="B147">
            <v>63</v>
          </cell>
          <cell r="C147">
            <v>31.5</v>
          </cell>
          <cell r="D147">
            <v>10.5</v>
          </cell>
          <cell r="E147">
            <v>5845115.3750434397</v>
          </cell>
        </row>
        <row r="148">
          <cell r="A148">
            <v>127</v>
          </cell>
          <cell r="B148">
            <v>63.5</v>
          </cell>
          <cell r="C148">
            <v>31.75</v>
          </cell>
          <cell r="D148">
            <v>10.583333333333334</v>
          </cell>
          <cell r="E148">
            <v>5812371.145180868</v>
          </cell>
        </row>
        <row r="149">
          <cell r="A149">
            <v>128</v>
          </cell>
          <cell r="B149">
            <v>64</v>
          </cell>
          <cell r="C149">
            <v>32</v>
          </cell>
          <cell r="D149">
            <v>10.666666666666666</v>
          </cell>
          <cell r="E149">
            <v>5779625.0289234463</v>
          </cell>
        </row>
        <row r="150">
          <cell r="A150">
            <v>129</v>
          </cell>
          <cell r="B150">
            <v>64.5</v>
          </cell>
          <cell r="C150">
            <v>32.25</v>
          </cell>
          <cell r="D150">
            <v>10.75</v>
          </cell>
          <cell r="E150">
            <v>5746876.8937376803</v>
          </cell>
        </row>
        <row r="151">
          <cell r="A151">
            <v>130</v>
          </cell>
          <cell r="B151">
            <v>65</v>
          </cell>
          <cell r="C151">
            <v>32.5</v>
          </cell>
          <cell r="D151">
            <v>10.833333333333334</v>
          </cell>
          <cell r="E151">
            <v>5714126.6069801813</v>
          </cell>
        </row>
        <row r="152">
          <cell r="A152">
            <v>131</v>
          </cell>
          <cell r="B152">
            <v>65.5</v>
          </cell>
          <cell r="C152">
            <v>32.75</v>
          </cell>
          <cell r="D152">
            <v>10.916666666666666</v>
          </cell>
          <cell r="E152">
            <v>5681374.0358970556</v>
          </cell>
        </row>
        <row r="153">
          <cell r="A153">
            <v>132</v>
          </cell>
          <cell r="B153">
            <v>66</v>
          </cell>
          <cell r="C153">
            <v>33</v>
          </cell>
          <cell r="D153">
            <v>11</v>
          </cell>
          <cell r="E153">
            <v>5648619.0476232842</v>
          </cell>
        </row>
        <row r="154">
          <cell r="A154">
            <v>133</v>
          </cell>
          <cell r="B154">
            <v>66.5</v>
          </cell>
          <cell r="C154">
            <v>33.25</v>
          </cell>
          <cell r="D154">
            <v>11.083333333333334</v>
          </cell>
          <cell r="E154">
            <v>5615861.5091821086</v>
          </cell>
        </row>
        <row r="155">
          <cell r="A155">
            <v>134</v>
          </cell>
          <cell r="B155">
            <v>67</v>
          </cell>
          <cell r="C155">
            <v>33.5</v>
          </cell>
          <cell r="D155">
            <v>11.166666666666666</v>
          </cell>
          <cell r="E155">
            <v>5583101.2874844093</v>
          </cell>
        </row>
        <row r="156">
          <cell r="A156">
            <v>135</v>
          </cell>
          <cell r="B156">
            <v>67.5</v>
          </cell>
          <cell r="C156">
            <v>33.75</v>
          </cell>
          <cell r="D156">
            <v>11.25</v>
          </cell>
          <cell r="E156">
            <v>5550338.2493280899</v>
          </cell>
        </row>
        <row r="157">
          <cell r="A157">
            <v>136</v>
          </cell>
          <cell r="B157">
            <v>68</v>
          </cell>
          <cell r="C157">
            <v>34</v>
          </cell>
          <cell r="D157">
            <v>11.333333333333334</v>
          </cell>
          <cell r="E157">
            <v>5517572.2613974549</v>
          </cell>
        </row>
        <row r="158">
          <cell r="A158">
            <v>137</v>
          </cell>
          <cell r="B158">
            <v>68.5</v>
          </cell>
          <cell r="C158">
            <v>34.25</v>
          </cell>
          <cell r="D158">
            <v>11.416666666666666</v>
          </cell>
          <cell r="E158">
            <v>5484803.1902625887</v>
          </cell>
        </row>
        <row r="159">
          <cell r="A159">
            <v>138</v>
          </cell>
          <cell r="B159">
            <v>69</v>
          </cell>
          <cell r="C159">
            <v>34.5</v>
          </cell>
          <cell r="D159">
            <v>11.5</v>
          </cell>
          <cell r="E159">
            <v>5452030.9023787379</v>
          </cell>
        </row>
        <row r="160">
          <cell r="A160">
            <v>139</v>
          </cell>
          <cell r="B160">
            <v>69.5</v>
          </cell>
          <cell r="C160">
            <v>34.75</v>
          </cell>
          <cell r="D160">
            <v>11.583333333333334</v>
          </cell>
          <cell r="E160">
            <v>5419255.2640856812</v>
          </cell>
        </row>
        <row r="161">
          <cell r="A161">
            <v>140</v>
          </cell>
          <cell r="B161">
            <v>70</v>
          </cell>
          <cell r="C161">
            <v>35</v>
          </cell>
          <cell r="D161">
            <v>11.666666666666666</v>
          </cell>
          <cell r="E161">
            <v>5386476.1416071132</v>
          </cell>
        </row>
        <row r="162">
          <cell r="A162">
            <v>141</v>
          </cell>
          <cell r="B162">
            <v>70.5</v>
          </cell>
          <cell r="C162">
            <v>35.25</v>
          </cell>
          <cell r="D162">
            <v>11.75</v>
          </cell>
          <cell r="E162">
            <v>5353693.4010500135</v>
          </cell>
        </row>
        <row r="163">
          <cell r="A163">
            <v>142</v>
          </cell>
          <cell r="B163">
            <v>71</v>
          </cell>
          <cell r="C163">
            <v>35.5</v>
          </cell>
          <cell r="D163">
            <v>11.833333333333334</v>
          </cell>
          <cell r="E163">
            <v>5320906.9084040262</v>
          </cell>
        </row>
        <row r="164">
          <cell r="A164">
            <v>143</v>
          </cell>
          <cell r="B164">
            <v>71.5</v>
          </cell>
          <cell r="C164">
            <v>35.75</v>
          </cell>
          <cell r="D164">
            <v>11.916666666666666</v>
          </cell>
          <cell r="E164">
            <v>5288116.5295408294</v>
          </cell>
        </row>
        <row r="165">
          <cell r="A165">
            <v>144</v>
          </cell>
          <cell r="B165">
            <v>72</v>
          </cell>
          <cell r="C165">
            <v>36</v>
          </cell>
          <cell r="D165">
            <v>12</v>
          </cell>
          <cell r="E165">
            <v>5255322.1302135084</v>
          </cell>
        </row>
        <row r="166">
          <cell r="A166">
            <v>145</v>
          </cell>
          <cell r="B166">
            <v>72.5</v>
          </cell>
          <cell r="C166">
            <v>36.25</v>
          </cell>
          <cell r="D166">
            <v>12.083333333333334</v>
          </cell>
          <cell r="E166">
            <v>5222523.57605593</v>
          </cell>
        </row>
        <row r="167">
          <cell r="A167">
            <v>146</v>
          </cell>
          <cell r="B167">
            <v>73</v>
          </cell>
          <cell r="C167">
            <v>36.5</v>
          </cell>
          <cell r="D167">
            <v>12.166666666666666</v>
          </cell>
          <cell r="E167">
            <v>5189720.73258211</v>
          </cell>
        </row>
        <row r="168">
          <cell r="A168">
            <v>147</v>
          </cell>
          <cell r="B168">
            <v>73.5</v>
          </cell>
          <cell r="C168">
            <v>36.75</v>
          </cell>
          <cell r="D168">
            <v>12.25</v>
          </cell>
          <cell r="E168">
            <v>5156913.4651855836</v>
          </cell>
        </row>
        <row r="169">
          <cell r="A169">
            <v>148</v>
          </cell>
          <cell r="B169">
            <v>74</v>
          </cell>
          <cell r="C169">
            <v>37</v>
          </cell>
          <cell r="D169">
            <v>12.333333333333334</v>
          </cell>
          <cell r="E169">
            <v>5124101.639138774</v>
          </cell>
        </row>
        <row r="170">
          <cell r="A170">
            <v>149</v>
          </cell>
          <cell r="B170">
            <v>74.5</v>
          </cell>
          <cell r="C170">
            <v>37.25</v>
          </cell>
          <cell r="D170">
            <v>12.416666666666666</v>
          </cell>
          <cell r="E170">
            <v>5091285.1195923612</v>
          </cell>
        </row>
        <row r="171">
          <cell r="A171">
            <v>150</v>
          </cell>
          <cell r="B171">
            <v>75</v>
          </cell>
          <cell r="C171">
            <v>37.5</v>
          </cell>
          <cell r="D171">
            <v>12.5</v>
          </cell>
          <cell r="E171">
            <v>5058463.7715746462</v>
          </cell>
        </row>
        <row r="172">
          <cell r="A172">
            <v>151</v>
          </cell>
          <cell r="B172">
            <v>75.5</v>
          </cell>
          <cell r="C172">
            <v>37.75</v>
          </cell>
          <cell r="D172">
            <v>12.583333333333334</v>
          </cell>
          <cell r="E172">
            <v>5025637.4599909196</v>
          </cell>
        </row>
        <row r="173">
          <cell r="A173">
            <v>152</v>
          </cell>
          <cell r="B173">
            <v>76</v>
          </cell>
          <cell r="C173">
            <v>38</v>
          </cell>
          <cell r="D173">
            <v>12.666666666666666</v>
          </cell>
          <cell r="E173">
            <v>4992806.0496228235</v>
          </cell>
        </row>
        <row r="174">
          <cell r="A174">
            <v>153</v>
          </cell>
          <cell r="B174">
            <v>76.5</v>
          </cell>
          <cell r="C174">
            <v>38.25</v>
          </cell>
          <cell r="D174">
            <v>12.75</v>
          </cell>
          <cell r="E174">
            <v>4959969.405127719</v>
          </cell>
        </row>
        <row r="175">
          <cell r="A175">
            <v>154</v>
          </cell>
          <cell r="B175">
            <v>77</v>
          </cell>
          <cell r="C175">
            <v>38.5</v>
          </cell>
          <cell r="D175">
            <v>12.833333333333334</v>
          </cell>
          <cell r="E175">
            <v>4927127.3910380444</v>
          </cell>
        </row>
        <row r="176">
          <cell r="A176">
            <v>155</v>
          </cell>
          <cell r="B176">
            <v>77.5</v>
          </cell>
          <cell r="C176">
            <v>38.75</v>
          </cell>
          <cell r="D176">
            <v>12.916666666666666</v>
          </cell>
          <cell r="E176">
            <v>4894279.8717606785</v>
          </cell>
        </row>
        <row r="177">
          <cell r="A177">
            <v>156</v>
          </cell>
          <cell r="B177">
            <v>78</v>
          </cell>
          <cell r="C177">
            <v>39</v>
          </cell>
          <cell r="D177">
            <v>13</v>
          </cell>
          <cell r="E177">
            <v>4861426.7115763044</v>
          </cell>
        </row>
        <row r="178">
          <cell r="A178">
            <v>157</v>
          </cell>
          <cell r="B178">
            <v>78.5</v>
          </cell>
          <cell r="C178">
            <v>39.25</v>
          </cell>
          <cell r="D178">
            <v>13.083333333333334</v>
          </cell>
          <cell r="E178">
            <v>4828567.7746387655</v>
          </cell>
        </row>
        <row r="179">
          <cell r="A179">
            <v>158</v>
          </cell>
          <cell r="B179">
            <v>79</v>
          </cell>
          <cell r="C179">
            <v>39.5</v>
          </cell>
          <cell r="D179">
            <v>13.166666666666666</v>
          </cell>
          <cell r="E179">
            <v>4795702.9249744248</v>
          </cell>
        </row>
        <row r="180">
          <cell r="A180">
            <v>159</v>
          </cell>
          <cell r="B180">
            <v>79.5</v>
          </cell>
          <cell r="C180">
            <v>39.75</v>
          </cell>
          <cell r="D180">
            <v>13.25</v>
          </cell>
          <cell r="E180">
            <v>4762832.026481526</v>
          </cell>
        </row>
        <row r="181">
          <cell r="A181">
            <v>160</v>
          </cell>
          <cell r="B181">
            <v>80</v>
          </cell>
          <cell r="C181">
            <v>40</v>
          </cell>
          <cell r="D181">
            <v>13.333333333333334</v>
          </cell>
          <cell r="E181">
            <v>4729954.9429295454</v>
          </cell>
        </row>
        <row r="182">
          <cell r="A182">
            <v>161</v>
          </cell>
          <cell r="B182">
            <v>80.5</v>
          </cell>
          <cell r="C182">
            <v>40.25</v>
          </cell>
          <cell r="D182">
            <v>13.416666666666666</v>
          </cell>
          <cell r="E182">
            <v>4697071.5379585503</v>
          </cell>
        </row>
        <row r="183">
          <cell r="A183">
            <v>162</v>
          </cell>
          <cell r="B183">
            <v>81</v>
          </cell>
          <cell r="C183">
            <v>40.5</v>
          </cell>
          <cell r="D183">
            <v>13.5</v>
          </cell>
          <cell r="E183">
            <v>4664181.675078555</v>
          </cell>
        </row>
        <row r="184">
          <cell r="A184">
            <v>163</v>
          </cell>
          <cell r="B184">
            <v>81.5</v>
          </cell>
          <cell r="C184">
            <v>40.75</v>
          </cell>
          <cell r="D184">
            <v>13.583333333333334</v>
          </cell>
          <cell r="E184">
            <v>4631285.2176688723</v>
          </cell>
        </row>
        <row r="185">
          <cell r="A185">
            <v>164</v>
          </cell>
          <cell r="B185">
            <v>82</v>
          </cell>
          <cell r="C185">
            <v>41</v>
          </cell>
          <cell r="D185">
            <v>13.666666666666666</v>
          </cell>
          <cell r="E185">
            <v>4598382.0289774649</v>
          </cell>
        </row>
        <row r="186">
          <cell r="A186">
            <v>165</v>
          </cell>
          <cell r="B186">
            <v>82.5</v>
          </cell>
          <cell r="C186">
            <v>41.25</v>
          </cell>
          <cell r="D186">
            <v>13.75</v>
          </cell>
          <cell r="E186">
            <v>4565471.9721203009</v>
          </cell>
        </row>
        <row r="187">
          <cell r="A187">
            <v>166</v>
          </cell>
          <cell r="B187">
            <v>83</v>
          </cell>
          <cell r="C187">
            <v>41.5</v>
          </cell>
          <cell r="D187">
            <v>13.833333333333334</v>
          </cell>
          <cell r="E187">
            <v>4532554.910080702</v>
          </cell>
        </row>
        <row r="188">
          <cell r="A188">
            <v>167</v>
          </cell>
          <cell r="B188">
            <v>83.5</v>
          </cell>
          <cell r="C188">
            <v>41.75</v>
          </cell>
          <cell r="D188">
            <v>13.916666666666666</v>
          </cell>
          <cell r="E188">
            <v>4499630.7057086946</v>
          </cell>
        </row>
        <row r="189">
          <cell r="A189">
            <v>168</v>
          </cell>
          <cell r="B189">
            <v>84</v>
          </cell>
          <cell r="C189">
            <v>42</v>
          </cell>
          <cell r="D189">
            <v>14</v>
          </cell>
          <cell r="E189">
            <v>4466699.2217203556</v>
          </cell>
        </row>
        <row r="190">
          <cell r="A190">
            <v>169</v>
          </cell>
          <cell r="B190">
            <v>84.5</v>
          </cell>
          <cell r="C190">
            <v>42.25</v>
          </cell>
          <cell r="D190">
            <v>14.083333333333334</v>
          </cell>
          <cell r="E190">
            <v>4433760.3206971632</v>
          </cell>
        </row>
        <row r="191">
          <cell r="A191">
            <v>170</v>
          </cell>
          <cell r="B191">
            <v>85</v>
          </cell>
          <cell r="C191">
            <v>42.5</v>
          </cell>
          <cell r="D191">
            <v>14.166666666666666</v>
          </cell>
          <cell r="E191">
            <v>4400813.8650853429</v>
          </cell>
        </row>
        <row r="192">
          <cell r="A192">
            <v>171</v>
          </cell>
          <cell r="B192">
            <v>85.5</v>
          </cell>
          <cell r="C192">
            <v>42.75</v>
          </cell>
          <cell r="D192">
            <v>14.25</v>
          </cell>
          <cell r="E192">
            <v>4367859.7171952091</v>
          </cell>
        </row>
        <row r="193">
          <cell r="A193">
            <v>172</v>
          </cell>
          <cell r="B193">
            <v>86</v>
          </cell>
          <cell r="C193">
            <v>43</v>
          </cell>
          <cell r="D193">
            <v>14.333333333333334</v>
          </cell>
          <cell r="E193">
            <v>4334897.7392005157</v>
          </cell>
        </row>
        <row r="194">
          <cell r="A194">
            <v>173</v>
          </cell>
          <cell r="B194">
            <v>86.5</v>
          </cell>
          <cell r="C194">
            <v>43.25</v>
          </cell>
          <cell r="D194">
            <v>14.416666666666666</v>
          </cell>
          <cell r="E194">
            <v>4301927.7931377934</v>
          </cell>
        </row>
        <row r="195">
          <cell r="A195">
            <v>174</v>
          </cell>
          <cell r="B195">
            <v>87</v>
          </cell>
          <cell r="C195">
            <v>43.5</v>
          </cell>
          <cell r="D195">
            <v>14.5</v>
          </cell>
          <cell r="E195">
            <v>4268949.7409056975</v>
          </cell>
        </row>
        <row r="196">
          <cell r="A196">
            <v>175</v>
          </cell>
          <cell r="B196">
            <v>87.5</v>
          </cell>
          <cell r="C196">
            <v>43.75</v>
          </cell>
          <cell r="D196">
            <v>14.583333333333334</v>
          </cell>
          <cell r="E196">
            <v>4235963.4442643458</v>
          </cell>
        </row>
        <row r="197">
          <cell r="A197">
            <v>176</v>
          </cell>
          <cell r="B197">
            <v>88</v>
          </cell>
          <cell r="C197">
            <v>44</v>
          </cell>
          <cell r="D197">
            <v>14.666666666666666</v>
          </cell>
          <cell r="E197">
            <v>4202968.7648346582</v>
          </cell>
        </row>
        <row r="198">
          <cell r="A198">
            <v>177</v>
          </cell>
          <cell r="B198">
            <v>88.5</v>
          </cell>
          <cell r="C198">
            <v>44.25</v>
          </cell>
          <cell r="D198">
            <v>14.75</v>
          </cell>
          <cell r="E198">
            <v>4169965.5640976983</v>
          </cell>
        </row>
        <row r="199">
          <cell r="A199">
            <v>178</v>
          </cell>
          <cell r="B199">
            <v>89</v>
          </cell>
          <cell r="C199">
            <v>44.5</v>
          </cell>
          <cell r="D199">
            <v>14.833333333333334</v>
          </cell>
          <cell r="E199">
            <v>4136953.7033940102</v>
          </cell>
        </row>
        <row r="200">
          <cell r="A200">
            <v>179</v>
          </cell>
          <cell r="B200">
            <v>89.5</v>
          </cell>
          <cell r="C200">
            <v>44.75</v>
          </cell>
          <cell r="D200">
            <v>14.916666666666666</v>
          </cell>
          <cell r="E200">
            <v>4103933.0439229556</v>
          </cell>
        </row>
        <row r="201">
          <cell r="A201">
            <v>180</v>
          </cell>
          <cell r="B201">
            <v>90</v>
          </cell>
          <cell r="C201">
            <v>45</v>
          </cell>
          <cell r="D201">
            <v>15</v>
          </cell>
          <cell r="E201">
            <v>4070903.4467420499</v>
          </cell>
        </row>
        <row r="202">
          <cell r="A202">
            <v>181</v>
          </cell>
          <cell r="B202">
            <v>90.5</v>
          </cell>
          <cell r="C202">
            <v>45.25</v>
          </cell>
          <cell r="D202">
            <v>15.083333333333334</v>
          </cell>
          <cell r="E202">
            <v>4037864.7727662963</v>
          </cell>
        </row>
        <row r="203">
          <cell r="A203">
            <v>182</v>
          </cell>
          <cell r="B203">
            <v>91</v>
          </cell>
          <cell r="C203">
            <v>45.5</v>
          </cell>
          <cell r="D203">
            <v>15.166666666666666</v>
          </cell>
          <cell r="E203">
            <v>4004816.8827675208</v>
          </cell>
        </row>
        <row r="204">
          <cell r="A204">
            <v>183</v>
          </cell>
          <cell r="B204">
            <v>91.5</v>
          </cell>
          <cell r="C204">
            <v>45.75</v>
          </cell>
          <cell r="D204">
            <v>15.25</v>
          </cell>
          <cell r="E204">
            <v>3971759.637373704</v>
          </cell>
        </row>
        <row r="205">
          <cell r="A205">
            <v>184</v>
          </cell>
          <cell r="B205">
            <v>92</v>
          </cell>
          <cell r="C205">
            <v>46</v>
          </cell>
          <cell r="D205">
            <v>15.333333333333334</v>
          </cell>
          <cell r="E205">
            <v>3938692.8970683124</v>
          </cell>
        </row>
        <row r="206">
          <cell r="A206">
            <v>185</v>
          </cell>
          <cell r="B206">
            <v>92.5</v>
          </cell>
          <cell r="C206">
            <v>46.25</v>
          </cell>
          <cell r="D206">
            <v>15.416666666666666</v>
          </cell>
          <cell r="E206">
            <v>3905616.5221896307</v>
          </cell>
        </row>
        <row r="207">
          <cell r="A207">
            <v>186</v>
          </cell>
          <cell r="B207">
            <v>93</v>
          </cell>
          <cell r="C207">
            <v>46.5</v>
          </cell>
          <cell r="D207">
            <v>15.5</v>
          </cell>
          <cell r="E207">
            <v>3872530.3729300881</v>
          </cell>
        </row>
        <row r="208">
          <cell r="A208">
            <v>187</v>
          </cell>
          <cell r="B208">
            <v>93.5</v>
          </cell>
          <cell r="C208">
            <v>46.75</v>
          </cell>
          <cell r="D208">
            <v>15.583333333333334</v>
          </cell>
          <cell r="E208">
            <v>3839434.3093355899</v>
          </cell>
        </row>
        <row r="209">
          <cell r="A209">
            <v>188</v>
          </cell>
          <cell r="B209">
            <v>94</v>
          </cell>
          <cell r="C209">
            <v>47</v>
          </cell>
          <cell r="D209">
            <v>15.666666666666666</v>
          </cell>
          <cell r="E209">
            <v>3806328.1913048429</v>
          </cell>
        </row>
        <row r="210">
          <cell r="A210">
            <v>189</v>
          </cell>
          <cell r="B210">
            <v>94.5</v>
          </cell>
          <cell r="C210">
            <v>47.25</v>
          </cell>
          <cell r="D210">
            <v>15.75</v>
          </cell>
          <cell r="E210">
            <v>3773211.878588682</v>
          </cell>
        </row>
        <row r="211">
          <cell r="A211">
            <v>190</v>
          </cell>
          <cell r="B211">
            <v>95</v>
          </cell>
          <cell r="C211">
            <v>47.5</v>
          </cell>
          <cell r="D211">
            <v>15.833333333333334</v>
          </cell>
          <cell r="E211">
            <v>3740085.2307893941</v>
          </cell>
        </row>
        <row r="212">
          <cell r="A212">
            <v>191</v>
          </cell>
          <cell r="B212">
            <v>95.5</v>
          </cell>
          <cell r="C212">
            <v>47.75</v>
          </cell>
          <cell r="D212">
            <v>15.916666666666666</v>
          </cell>
          <cell r="E212">
            <v>3706948.1073600436</v>
          </cell>
        </row>
        <row r="213">
          <cell r="A213">
            <v>192</v>
          </cell>
          <cell r="B213">
            <v>96</v>
          </cell>
          <cell r="C213">
            <v>48</v>
          </cell>
          <cell r="D213">
            <v>16</v>
          </cell>
          <cell r="E213">
            <v>3673800.3676037942</v>
          </cell>
        </row>
        <row r="214">
          <cell r="A214">
            <v>193</v>
          </cell>
          <cell r="B214">
            <v>96.5</v>
          </cell>
          <cell r="C214">
            <v>48.25</v>
          </cell>
          <cell r="D214">
            <v>16.083333333333332</v>
          </cell>
          <cell r="E214">
            <v>3640641.8706732308</v>
          </cell>
        </row>
        <row r="215">
          <cell r="A215">
            <v>194</v>
          </cell>
          <cell r="B215">
            <v>97</v>
          </cell>
          <cell r="C215">
            <v>48.5</v>
          </cell>
          <cell r="D215">
            <v>16.166666666666668</v>
          </cell>
          <cell r="E215">
            <v>3607472.4755696794</v>
          </cell>
        </row>
        <row r="216">
          <cell r="A216">
            <v>195</v>
          </cell>
          <cell r="B216">
            <v>97.5</v>
          </cell>
          <cell r="C216">
            <v>48.75</v>
          </cell>
          <cell r="D216">
            <v>16.25</v>
          </cell>
          <cell r="E216">
            <v>3574292.0411425279</v>
          </cell>
        </row>
        <row r="217">
          <cell r="A217">
            <v>196</v>
          </cell>
          <cell r="B217">
            <v>98</v>
          </cell>
          <cell r="C217">
            <v>49</v>
          </cell>
          <cell r="D217">
            <v>16.333333333333332</v>
          </cell>
          <cell r="E217">
            <v>3541100.4260885431</v>
          </cell>
        </row>
        <row r="218">
          <cell r="A218">
            <v>197</v>
          </cell>
          <cell r="B218">
            <v>98.5</v>
          </cell>
          <cell r="C218">
            <v>49.25</v>
          </cell>
          <cell r="D218">
            <v>16.416666666666668</v>
          </cell>
          <cell r="E218">
            <v>3507897.4889511876</v>
          </cell>
        </row>
        <row r="219">
          <cell r="A219">
            <v>198</v>
          </cell>
          <cell r="B219">
            <v>99</v>
          </cell>
          <cell r="C219">
            <v>49.5</v>
          </cell>
          <cell r="D219">
            <v>16.5</v>
          </cell>
          <cell r="E219">
            <v>3474683.0881199371</v>
          </cell>
        </row>
        <row r="220">
          <cell r="A220">
            <v>199</v>
          </cell>
          <cell r="B220">
            <v>99.5</v>
          </cell>
          <cell r="C220">
            <v>49.75</v>
          </cell>
          <cell r="D220">
            <v>16.583333333333332</v>
          </cell>
          <cell r="E220">
            <v>3441457.0818295949</v>
          </cell>
        </row>
        <row r="221">
          <cell r="A221">
            <v>200</v>
          </cell>
          <cell r="B221">
            <v>100</v>
          </cell>
          <cell r="C221">
            <v>50</v>
          </cell>
          <cell r="D221">
            <v>16.666666666666668</v>
          </cell>
          <cell r="E221">
            <v>3408219.3281596038</v>
          </cell>
        </row>
        <row r="222">
          <cell r="A222">
            <v>201</v>
          </cell>
          <cell r="B222">
            <v>100.5</v>
          </cell>
          <cell r="C222">
            <v>50.25</v>
          </cell>
          <cell r="D222">
            <v>16.75</v>
          </cell>
          <cell r="E222">
            <v>3374969.685033361</v>
          </cell>
        </row>
        <row r="223">
          <cell r="A223">
            <v>202</v>
          </cell>
          <cell r="B223">
            <v>101</v>
          </cell>
          <cell r="C223">
            <v>50.5</v>
          </cell>
          <cell r="D223">
            <v>16.833333333333332</v>
          </cell>
          <cell r="E223">
            <v>3341708.0102175288</v>
          </cell>
        </row>
        <row r="224">
          <cell r="A224">
            <v>203</v>
          </cell>
          <cell r="B224">
            <v>101.5</v>
          </cell>
          <cell r="C224">
            <v>50.75</v>
          </cell>
          <cell r="D224">
            <v>16.916666666666668</v>
          </cell>
          <cell r="E224">
            <v>3308434.1613213439</v>
          </cell>
        </row>
        <row r="225">
          <cell r="A225">
            <v>204</v>
          </cell>
          <cell r="B225">
            <v>102</v>
          </cell>
          <cell r="C225">
            <v>51</v>
          </cell>
          <cell r="D225">
            <v>17</v>
          </cell>
          <cell r="E225">
            <v>3275147.995795927</v>
          </cell>
        </row>
        <row r="226">
          <cell r="A226">
            <v>205</v>
          </cell>
          <cell r="B226">
            <v>102.5</v>
          </cell>
          <cell r="C226">
            <v>51.25</v>
          </cell>
          <cell r="D226">
            <v>17.083333333333332</v>
          </cell>
          <cell r="E226">
            <v>3241849.3709335919</v>
          </cell>
        </row>
        <row r="227">
          <cell r="A227">
            <v>206</v>
          </cell>
          <cell r="B227">
            <v>103</v>
          </cell>
          <cell r="C227">
            <v>51.5</v>
          </cell>
          <cell r="D227">
            <v>17.166666666666668</v>
          </cell>
          <cell r="E227">
            <v>3208538.1438671495</v>
          </cell>
        </row>
        <row r="228">
          <cell r="A228">
            <v>207</v>
          </cell>
          <cell r="B228">
            <v>103.5</v>
          </cell>
          <cell r="C228">
            <v>51.75</v>
          </cell>
          <cell r="D228">
            <v>17.25</v>
          </cell>
          <cell r="E228">
            <v>3175214.1715692165</v>
          </cell>
        </row>
        <row r="229">
          <cell r="A229">
            <v>208</v>
          </cell>
          <cell r="B229">
            <v>104</v>
          </cell>
          <cell r="C229">
            <v>52</v>
          </cell>
          <cell r="D229">
            <v>17.333333333333332</v>
          </cell>
          <cell r="E229">
            <v>3141877.3108515176</v>
          </cell>
        </row>
        <row r="230">
          <cell r="A230">
            <v>209</v>
          </cell>
          <cell r="B230">
            <v>104.5</v>
          </cell>
          <cell r="C230">
            <v>52.25</v>
          </cell>
          <cell r="D230">
            <v>17.416666666666668</v>
          </cell>
          <cell r="E230">
            <v>3108527.4183641896</v>
          </cell>
        </row>
        <row r="231">
          <cell r="A231">
            <v>210</v>
          </cell>
          <cell r="B231">
            <v>105</v>
          </cell>
          <cell r="C231">
            <v>52.5</v>
          </cell>
          <cell r="D231">
            <v>17.5</v>
          </cell>
          <cell r="E231">
            <v>3075164.3505950836</v>
          </cell>
        </row>
        <row r="232">
          <cell r="A232">
            <v>211</v>
          </cell>
          <cell r="B232">
            <v>105.5</v>
          </cell>
          <cell r="C232">
            <v>52.75</v>
          </cell>
          <cell r="D232">
            <v>17.583333333333332</v>
          </cell>
          <cell r="E232">
            <v>3041787.9638690646</v>
          </cell>
        </row>
        <row r="233">
          <cell r="A233">
            <v>212</v>
          </cell>
          <cell r="B233">
            <v>106</v>
          </cell>
          <cell r="C233">
            <v>53</v>
          </cell>
          <cell r="D233">
            <v>17.666666666666668</v>
          </cell>
          <cell r="E233">
            <v>3008398.1143473131</v>
          </cell>
        </row>
        <row r="234">
          <cell r="A234">
            <v>213</v>
          </cell>
          <cell r="B234">
            <v>106.5</v>
          </cell>
          <cell r="C234">
            <v>53.25</v>
          </cell>
          <cell r="D234">
            <v>17.75</v>
          </cell>
          <cell r="E234">
            <v>2974994.6580266221</v>
          </cell>
        </row>
        <row r="235">
          <cell r="A235">
            <v>214</v>
          </cell>
          <cell r="B235">
            <v>107</v>
          </cell>
          <cell r="C235">
            <v>53.5</v>
          </cell>
          <cell r="D235">
            <v>17.833333333333332</v>
          </cell>
          <cell r="E235">
            <v>2941577.450738695</v>
          </cell>
        </row>
        <row r="236">
          <cell r="A236">
            <v>215</v>
          </cell>
          <cell r="B236">
            <v>107.5</v>
          </cell>
          <cell r="C236">
            <v>53.75</v>
          </cell>
          <cell r="D236">
            <v>17.916666666666668</v>
          </cell>
          <cell r="E236">
            <v>2908146.3481494412</v>
          </cell>
        </row>
        <row r="237">
          <cell r="A237">
            <v>216</v>
          </cell>
          <cell r="B237">
            <v>108</v>
          </cell>
          <cell r="C237">
            <v>54</v>
          </cell>
          <cell r="D237">
            <v>18</v>
          </cell>
          <cell r="E237">
            <v>2874701.2057582713</v>
          </cell>
        </row>
        <row r="238">
          <cell r="A238">
            <v>217</v>
          </cell>
          <cell r="B238">
            <v>108.5</v>
          </cell>
          <cell r="C238">
            <v>54.25</v>
          </cell>
          <cell r="D238">
            <v>18.083333333333332</v>
          </cell>
          <cell r="E238">
            <v>2841241.8788973913</v>
          </cell>
        </row>
        <row r="239">
          <cell r="A239">
            <v>218</v>
          </cell>
          <cell r="B239">
            <v>109</v>
          </cell>
          <cell r="C239">
            <v>54.5</v>
          </cell>
          <cell r="D239">
            <v>18.166666666666668</v>
          </cell>
          <cell r="E239">
            <v>2807768.2227310934</v>
          </cell>
        </row>
        <row r="240">
          <cell r="A240">
            <v>219</v>
          </cell>
          <cell r="B240">
            <v>109.5</v>
          </cell>
          <cell r="C240">
            <v>54.75</v>
          </cell>
          <cell r="D240">
            <v>18.25</v>
          </cell>
          <cell r="E240">
            <v>2774280.0922550494</v>
          </cell>
        </row>
        <row r="241">
          <cell r="A241">
            <v>220</v>
          </cell>
          <cell r="B241">
            <v>110</v>
          </cell>
          <cell r="C241">
            <v>55</v>
          </cell>
          <cell r="D241">
            <v>18.333333333333332</v>
          </cell>
          <cell r="E241">
            <v>2740777.3422955987</v>
          </cell>
        </row>
        <row r="242">
          <cell r="A242">
            <v>221</v>
          </cell>
          <cell r="B242">
            <v>110.5</v>
          </cell>
          <cell r="C242">
            <v>55.25</v>
          </cell>
          <cell r="D242">
            <v>18.416666666666668</v>
          </cell>
          <cell r="E242">
            <v>2707259.8275090382</v>
          </cell>
        </row>
        <row r="243">
          <cell r="A243">
            <v>222</v>
          </cell>
          <cell r="B243">
            <v>111</v>
          </cell>
          <cell r="C243">
            <v>55.5</v>
          </cell>
          <cell r="D243">
            <v>18.5</v>
          </cell>
          <cell r="E243">
            <v>2673727.4023809098</v>
          </cell>
        </row>
        <row r="244">
          <cell r="A244">
            <v>223</v>
          </cell>
          <cell r="B244">
            <v>111.5</v>
          </cell>
          <cell r="C244">
            <v>55.75</v>
          </cell>
          <cell r="D244">
            <v>18.583333333333332</v>
          </cell>
          <cell r="E244">
            <v>2640179.9212252866</v>
          </cell>
        </row>
        <row r="245">
          <cell r="A245">
            <v>224</v>
          </cell>
          <cell r="B245">
            <v>112</v>
          </cell>
          <cell r="C245">
            <v>56</v>
          </cell>
          <cell r="D245">
            <v>18.666666666666668</v>
          </cell>
          <cell r="E245">
            <v>2606617.2381840572</v>
          </cell>
        </row>
        <row r="246">
          <cell r="A246">
            <v>225</v>
          </cell>
          <cell r="B246">
            <v>112.5</v>
          </cell>
          <cell r="C246">
            <v>56.25</v>
          </cell>
          <cell r="D246">
            <v>18.75</v>
          </cell>
          <cell r="E246">
            <v>2573039.2072262117</v>
          </cell>
        </row>
        <row r="247">
          <cell r="A247">
            <v>226</v>
          </cell>
          <cell r="B247">
            <v>113</v>
          </cell>
          <cell r="C247">
            <v>56.5</v>
          </cell>
          <cell r="D247">
            <v>18.833333333333332</v>
          </cell>
          <cell r="E247">
            <v>2539445.6821471215</v>
          </cell>
        </row>
        <row r="248">
          <cell r="A248">
            <v>227</v>
          </cell>
          <cell r="B248">
            <v>113.5</v>
          </cell>
          <cell r="C248">
            <v>56.75</v>
          </cell>
          <cell r="D248">
            <v>18.916666666666668</v>
          </cell>
          <cell r="E248">
            <v>2505836.516567823</v>
          </cell>
        </row>
        <row r="249">
          <cell r="A249">
            <v>228</v>
          </cell>
          <cell r="B249">
            <v>114</v>
          </cell>
          <cell r="C249">
            <v>57</v>
          </cell>
          <cell r="D249">
            <v>19</v>
          </cell>
          <cell r="E249">
            <v>2472211.5639342968</v>
          </cell>
        </row>
        <row r="250">
          <cell r="A250">
            <v>229</v>
          </cell>
          <cell r="B250">
            <v>114.5</v>
          </cell>
          <cell r="C250">
            <v>57.25</v>
          </cell>
          <cell r="D250">
            <v>19.083333333333332</v>
          </cell>
          <cell r="E250">
            <v>2438570.6775167454</v>
          </cell>
        </row>
        <row r="251">
          <cell r="A251">
            <v>230</v>
          </cell>
          <cell r="B251">
            <v>115</v>
          </cell>
          <cell r="C251">
            <v>57.5</v>
          </cell>
          <cell r="D251">
            <v>19.166666666666668</v>
          </cell>
          <cell r="E251">
            <v>2404913.7104088734</v>
          </cell>
        </row>
        <row r="252">
          <cell r="A252">
            <v>231</v>
          </cell>
          <cell r="B252">
            <v>115.5</v>
          </cell>
          <cell r="C252">
            <v>57.75</v>
          </cell>
          <cell r="D252">
            <v>19.25</v>
          </cell>
          <cell r="E252">
            <v>2371240.5155271613</v>
          </cell>
        </row>
        <row r="253">
          <cell r="A253">
            <v>232</v>
          </cell>
          <cell r="B253">
            <v>116</v>
          </cell>
          <cell r="C253">
            <v>58</v>
          </cell>
          <cell r="D253">
            <v>19.333333333333332</v>
          </cell>
          <cell r="E253">
            <v>2337550.9456101423</v>
          </cell>
        </row>
        <row r="254">
          <cell r="A254">
            <v>233</v>
          </cell>
          <cell r="B254">
            <v>116.5</v>
          </cell>
          <cell r="C254">
            <v>58.25</v>
          </cell>
          <cell r="D254">
            <v>19.416666666666668</v>
          </cell>
          <cell r="E254">
            <v>2303844.8532176754</v>
          </cell>
        </row>
        <row r="255">
          <cell r="A255">
            <v>234</v>
          </cell>
          <cell r="B255">
            <v>117</v>
          </cell>
          <cell r="C255">
            <v>58.5</v>
          </cell>
          <cell r="D255">
            <v>19.5</v>
          </cell>
          <cell r="E255">
            <v>2270122.0907302178</v>
          </cell>
        </row>
        <row r="256">
          <cell r="A256">
            <v>235</v>
          </cell>
          <cell r="B256">
            <v>117.5</v>
          </cell>
          <cell r="C256">
            <v>58.75</v>
          </cell>
          <cell r="D256">
            <v>19.583333333333332</v>
          </cell>
          <cell r="E256">
            <v>2236382.510348096</v>
          </cell>
        </row>
        <row r="257">
          <cell r="A257">
            <v>236</v>
          </cell>
          <cell r="B257">
            <v>118</v>
          </cell>
          <cell r="C257">
            <v>59</v>
          </cell>
          <cell r="D257">
            <v>19.666666666666668</v>
          </cell>
          <cell r="E257">
            <v>2202625.9640907776</v>
          </cell>
        </row>
        <row r="258">
          <cell r="A258">
            <v>237</v>
          </cell>
          <cell r="B258">
            <v>118.5</v>
          </cell>
          <cell r="C258">
            <v>59.25</v>
          </cell>
          <cell r="D258">
            <v>19.75</v>
          </cell>
          <cell r="E258">
            <v>2168852.3037961368</v>
          </cell>
        </row>
        <row r="259">
          <cell r="A259">
            <v>238</v>
          </cell>
          <cell r="B259">
            <v>119</v>
          </cell>
          <cell r="C259">
            <v>59.5</v>
          </cell>
          <cell r="D259">
            <v>19.833333333333332</v>
          </cell>
          <cell r="E259">
            <v>2135061.3811197248</v>
          </cell>
        </row>
        <row r="260">
          <cell r="A260">
            <v>239</v>
          </cell>
          <cell r="B260">
            <v>119.5</v>
          </cell>
          <cell r="C260">
            <v>59.75</v>
          </cell>
          <cell r="D260">
            <v>19.916666666666668</v>
          </cell>
          <cell r="E260">
            <v>2101253.0475340341</v>
          </cell>
        </row>
        <row r="261">
          <cell r="A261">
            <v>240</v>
          </cell>
          <cell r="B261">
            <v>120</v>
          </cell>
          <cell r="C261">
            <v>60</v>
          </cell>
          <cell r="D261">
            <v>20</v>
          </cell>
          <cell r="E261">
            <v>2067427.1543277639</v>
          </cell>
        </row>
        <row r="262">
          <cell r="A262">
            <v>241</v>
          </cell>
          <cell r="B262">
            <v>120.5</v>
          </cell>
          <cell r="C262">
            <v>60.25</v>
          </cell>
          <cell r="D262">
            <v>20.083333333333332</v>
          </cell>
          <cell r="E262">
            <v>2033583.5526050837</v>
          </cell>
        </row>
        <row r="263">
          <cell r="A263">
            <v>242</v>
          </cell>
          <cell r="B263">
            <v>121</v>
          </cell>
          <cell r="C263">
            <v>60.5</v>
          </cell>
          <cell r="D263">
            <v>20.166666666666668</v>
          </cell>
          <cell r="E263">
            <v>1999722.0932848949</v>
          </cell>
        </row>
        <row r="264">
          <cell r="A264">
            <v>243</v>
          </cell>
          <cell r="B264">
            <v>121.5</v>
          </cell>
          <cell r="C264">
            <v>60.75</v>
          </cell>
          <cell r="D264">
            <v>20.25</v>
          </cell>
          <cell r="E264">
            <v>1965842.6271000931</v>
          </cell>
        </row>
        <row r="265">
          <cell r="A265">
            <v>244</v>
          </cell>
          <cell r="B265">
            <v>122</v>
          </cell>
          <cell r="C265">
            <v>61</v>
          </cell>
          <cell r="D265">
            <v>20.333333333333332</v>
          </cell>
          <cell r="E265">
            <v>1931945.0045968262</v>
          </cell>
        </row>
        <row r="266">
          <cell r="A266">
            <v>245</v>
          </cell>
          <cell r="B266">
            <v>122.5</v>
          </cell>
          <cell r="C266">
            <v>61.25</v>
          </cell>
          <cell r="D266">
            <v>20.416666666666668</v>
          </cell>
          <cell r="E266">
            <v>1898029.0761337532</v>
          </cell>
        </row>
        <row r="267">
          <cell r="A267">
            <v>246</v>
          </cell>
          <cell r="B267">
            <v>123</v>
          </cell>
          <cell r="C267">
            <v>61.5</v>
          </cell>
          <cell r="D267">
            <v>20.5</v>
          </cell>
          <cell r="E267">
            <v>1864094.6918813013</v>
          </cell>
        </row>
        <row r="268">
          <cell r="A268">
            <v>247</v>
          </cell>
          <cell r="B268">
            <v>123.5</v>
          </cell>
          <cell r="C268">
            <v>61.75</v>
          </cell>
          <cell r="D268">
            <v>20.583333333333332</v>
          </cell>
          <cell r="E268">
            <v>1830141.7018209216</v>
          </cell>
        </row>
        <row r="269">
          <cell r="A269">
            <v>248</v>
          </cell>
          <cell r="B269">
            <v>124</v>
          </cell>
          <cell r="C269">
            <v>62</v>
          </cell>
          <cell r="D269">
            <v>20.666666666666668</v>
          </cell>
          <cell r="E269">
            <v>1796169.9557443433</v>
          </cell>
        </row>
        <row r="270">
          <cell r="A270">
            <v>249</v>
          </cell>
          <cell r="B270">
            <v>124.5</v>
          </cell>
          <cell r="C270">
            <v>62.25</v>
          </cell>
          <cell r="D270">
            <v>20.75</v>
          </cell>
          <cell r="E270">
            <v>1762179.3032528262</v>
          </cell>
        </row>
        <row r="271">
          <cell r="A271">
            <v>250</v>
          </cell>
          <cell r="B271">
            <v>125</v>
          </cell>
          <cell r="C271">
            <v>62.5</v>
          </cell>
          <cell r="D271">
            <v>20.833333333333332</v>
          </cell>
          <cell r="E271">
            <v>1728169.5937564131</v>
          </cell>
        </row>
        <row r="272">
          <cell r="A272">
            <v>251</v>
          </cell>
          <cell r="B272">
            <v>125.5</v>
          </cell>
          <cell r="C272">
            <v>62.75</v>
          </cell>
          <cell r="D272">
            <v>20.916666666666668</v>
          </cell>
          <cell r="E272">
            <v>1694140.6764731794</v>
          </cell>
        </row>
        <row r="273">
          <cell r="A273">
            <v>252</v>
          </cell>
          <cell r="B273">
            <v>126</v>
          </cell>
          <cell r="C273">
            <v>63</v>
          </cell>
          <cell r="D273">
            <v>21</v>
          </cell>
          <cell r="E273">
            <v>1660092.4004284828</v>
          </cell>
        </row>
        <row r="274">
          <cell r="A274">
            <v>253</v>
          </cell>
          <cell r="B274">
            <v>126.5</v>
          </cell>
          <cell r="C274">
            <v>63.25</v>
          </cell>
          <cell r="D274">
            <v>21.083333333333332</v>
          </cell>
          <cell r="E274">
            <v>1626024.6144542098</v>
          </cell>
        </row>
        <row r="275">
          <cell r="A275">
            <v>254</v>
          </cell>
          <cell r="B275">
            <v>127</v>
          </cell>
          <cell r="C275">
            <v>63.5</v>
          </cell>
          <cell r="D275">
            <v>21.166666666666668</v>
          </cell>
          <cell r="E275">
            <v>1591937.1671880234</v>
          </cell>
        </row>
        <row r="276">
          <cell r="A276">
            <v>255</v>
          </cell>
          <cell r="B276">
            <v>127.5</v>
          </cell>
          <cell r="C276">
            <v>63.75</v>
          </cell>
          <cell r="D276">
            <v>21.25</v>
          </cell>
          <cell r="E276">
            <v>1557829.9070726067</v>
          </cell>
        </row>
        <row r="277">
          <cell r="A277">
            <v>256</v>
          </cell>
          <cell r="B277">
            <v>128</v>
          </cell>
          <cell r="C277">
            <v>64</v>
          </cell>
          <cell r="D277">
            <v>21.333333333333332</v>
          </cell>
          <cell r="E277">
            <v>1523702.682354907</v>
          </cell>
        </row>
        <row r="278">
          <cell r="A278">
            <v>257</v>
          </cell>
          <cell r="B278">
            <v>128.5</v>
          </cell>
          <cell r="C278">
            <v>64.25</v>
          </cell>
          <cell r="D278">
            <v>21.416666666666668</v>
          </cell>
          <cell r="E278">
            <v>1489555.3410853781</v>
          </cell>
        </row>
        <row r="279">
          <cell r="A279">
            <v>258</v>
          </cell>
          <cell r="B279">
            <v>129</v>
          </cell>
          <cell r="C279">
            <v>64.5</v>
          </cell>
          <cell r="D279">
            <v>21.5</v>
          </cell>
          <cell r="E279">
            <v>1455387.7311172206</v>
          </cell>
        </row>
        <row r="280">
          <cell r="A280">
            <v>259</v>
          </cell>
          <cell r="B280">
            <v>129.5</v>
          </cell>
          <cell r="C280">
            <v>64.75</v>
          </cell>
          <cell r="D280">
            <v>21.583333333333332</v>
          </cell>
          <cell r="E280">
            <v>1421199.7001056217</v>
          </cell>
        </row>
        <row r="281">
          <cell r="A281">
            <v>260</v>
          </cell>
          <cell r="B281">
            <v>130</v>
          </cell>
          <cell r="C281">
            <v>65</v>
          </cell>
          <cell r="D281">
            <v>21.666666666666668</v>
          </cell>
          <cell r="E281">
            <v>1386991.0955069931</v>
          </cell>
        </row>
        <row r="282">
          <cell r="A282">
            <v>261</v>
          </cell>
          <cell r="B282">
            <v>130.5</v>
          </cell>
          <cell r="C282">
            <v>65.25</v>
          </cell>
          <cell r="D282">
            <v>21.75</v>
          </cell>
          <cell r="E282">
            <v>1352761.7645782079</v>
          </cell>
        </row>
        <row r="283">
          <cell r="A283">
            <v>262</v>
          </cell>
          <cell r="B283">
            <v>131</v>
          </cell>
          <cell r="C283">
            <v>65.5</v>
          </cell>
          <cell r="D283">
            <v>21.833333333333332</v>
          </cell>
          <cell r="E283">
            <v>1318511.5543758355</v>
          </cell>
        </row>
        <row r="284">
          <cell r="A284">
            <v>263</v>
          </cell>
          <cell r="B284">
            <v>131.5</v>
          </cell>
          <cell r="C284">
            <v>65.75</v>
          </cell>
          <cell r="D284">
            <v>21.916666666666668</v>
          </cell>
          <cell r="E284">
            <v>1284240.3117553759</v>
          </cell>
        </row>
        <row r="285">
          <cell r="A285">
            <v>264</v>
          </cell>
          <cell r="B285">
            <v>132</v>
          </cell>
          <cell r="C285">
            <v>66</v>
          </cell>
          <cell r="D285">
            <v>22</v>
          </cell>
          <cell r="E285">
            <v>1249947.8833704919</v>
          </cell>
        </row>
        <row r="286">
          <cell r="A286">
            <v>265</v>
          </cell>
          <cell r="B286">
            <v>132.5</v>
          </cell>
          <cell r="C286">
            <v>66.25</v>
          </cell>
          <cell r="D286">
            <v>22.083333333333332</v>
          </cell>
          <cell r="E286">
            <v>1215634.11567224</v>
          </cell>
        </row>
        <row r="287">
          <cell r="A287">
            <v>266</v>
          </cell>
          <cell r="B287">
            <v>133</v>
          </cell>
          <cell r="C287">
            <v>66.5</v>
          </cell>
          <cell r="D287">
            <v>22.166666666666668</v>
          </cell>
          <cell r="E287">
            <v>1181298.8549083006</v>
          </cell>
        </row>
        <row r="288">
          <cell r="A288">
            <v>267</v>
          </cell>
          <cell r="B288">
            <v>133.5</v>
          </cell>
          <cell r="C288">
            <v>66.75</v>
          </cell>
          <cell r="D288">
            <v>22.25</v>
          </cell>
          <cell r="E288">
            <v>1146941.9471222062</v>
          </cell>
        </row>
        <row r="289">
          <cell r="A289">
            <v>268</v>
          </cell>
          <cell r="B289">
            <v>134</v>
          </cell>
          <cell r="C289">
            <v>67</v>
          </cell>
          <cell r="D289">
            <v>22.333333333333332</v>
          </cell>
          <cell r="E289">
            <v>1112563.238152568</v>
          </cell>
        </row>
        <row r="290">
          <cell r="A290">
            <v>269</v>
          </cell>
          <cell r="B290">
            <v>134.5</v>
          </cell>
          <cell r="C290">
            <v>67.25</v>
          </cell>
          <cell r="D290">
            <v>22.416666666666668</v>
          </cell>
          <cell r="E290">
            <v>1078162.5736323013</v>
          </cell>
        </row>
        <row r="291">
          <cell r="A291">
            <v>270</v>
          </cell>
          <cell r="B291">
            <v>135</v>
          </cell>
          <cell r="C291">
            <v>67.5</v>
          </cell>
          <cell r="D291">
            <v>22.5</v>
          </cell>
          <cell r="E291">
            <v>1043739.7989878504</v>
          </cell>
        </row>
        <row r="292">
          <cell r="A292">
            <v>271</v>
          </cell>
          <cell r="B292">
            <v>135.5</v>
          </cell>
          <cell r="C292">
            <v>67.75</v>
          </cell>
          <cell r="D292">
            <v>22.583333333333332</v>
          </cell>
          <cell r="E292">
            <v>1009294.7594384099</v>
          </cell>
        </row>
        <row r="293">
          <cell r="A293">
            <v>272</v>
          </cell>
          <cell r="B293">
            <v>136</v>
          </cell>
          <cell r="C293">
            <v>68</v>
          </cell>
          <cell r="D293">
            <v>22.666666666666668</v>
          </cell>
          <cell r="E293">
            <v>974827.29999514692</v>
          </cell>
        </row>
        <row r="294">
          <cell r="A294">
            <v>273</v>
          </cell>
          <cell r="B294">
            <v>136.5</v>
          </cell>
          <cell r="C294">
            <v>68.25</v>
          </cell>
          <cell r="D294">
            <v>22.75</v>
          </cell>
          <cell r="E294">
            <v>940337.26546042052</v>
          </cell>
        </row>
        <row r="295">
          <cell r="A295">
            <v>274</v>
          </cell>
          <cell r="B295">
            <v>137</v>
          </cell>
          <cell r="C295">
            <v>68.5</v>
          </cell>
          <cell r="D295">
            <v>22.833333333333332</v>
          </cell>
          <cell r="E295">
            <v>905824.50042699999</v>
          </cell>
        </row>
        <row r="296">
          <cell r="A296">
            <v>275</v>
          </cell>
          <cell r="B296">
            <v>137.5</v>
          </cell>
          <cell r="C296">
            <v>68.75</v>
          </cell>
          <cell r="D296">
            <v>22.916666666666668</v>
          </cell>
          <cell r="E296">
            <v>871288.84927728178</v>
          </cell>
        </row>
        <row r="297">
          <cell r="A297">
            <v>276</v>
          </cell>
          <cell r="B297">
            <v>138</v>
          </cell>
          <cell r="C297">
            <v>69</v>
          </cell>
          <cell r="D297">
            <v>23</v>
          </cell>
          <cell r="E297">
            <v>836730.15618250484</v>
          </cell>
        </row>
        <row r="298">
          <cell r="A298">
            <v>277</v>
          </cell>
          <cell r="B298">
            <v>138.5</v>
          </cell>
          <cell r="C298">
            <v>69.25</v>
          </cell>
          <cell r="D298">
            <v>23.083333333333332</v>
          </cell>
          <cell r="E298">
            <v>802148.26510196517</v>
          </cell>
        </row>
        <row r="299">
          <cell r="A299">
            <v>278</v>
          </cell>
          <cell r="B299">
            <v>139</v>
          </cell>
          <cell r="C299">
            <v>69.5</v>
          </cell>
          <cell r="D299">
            <v>23.166666666666668</v>
          </cell>
          <cell r="E299">
            <v>767543.01978222758</v>
          </cell>
        </row>
        <row r="300">
          <cell r="A300">
            <v>279</v>
          </cell>
          <cell r="B300">
            <v>139.5</v>
          </cell>
          <cell r="C300">
            <v>69.75</v>
          </cell>
          <cell r="D300">
            <v>23.25</v>
          </cell>
          <cell r="E300">
            <v>732914.26375633723</v>
          </cell>
        </row>
        <row r="301">
          <cell r="A301">
            <v>280</v>
          </cell>
          <cell r="B301">
            <v>140</v>
          </cell>
          <cell r="C301">
            <v>70</v>
          </cell>
          <cell r="D301">
            <v>23.333333333333332</v>
          </cell>
          <cell r="E301">
            <v>698261.84034302924</v>
          </cell>
        </row>
        <row r="302">
          <cell r="A302">
            <v>281</v>
          </cell>
          <cell r="B302">
            <v>140.5</v>
          </cell>
          <cell r="C302">
            <v>70.25</v>
          </cell>
          <cell r="D302">
            <v>23.416666666666668</v>
          </cell>
          <cell r="E302">
            <v>663585.59264593676</v>
          </cell>
        </row>
        <row r="303">
          <cell r="A303">
            <v>282</v>
          </cell>
          <cell r="B303">
            <v>141</v>
          </cell>
          <cell r="C303">
            <v>70.5</v>
          </cell>
          <cell r="D303">
            <v>23.5</v>
          </cell>
          <cell r="E303">
            <v>628885.36355279782</v>
          </cell>
        </row>
        <row r="304">
          <cell r="A304">
            <v>283</v>
          </cell>
          <cell r="B304">
            <v>141.5</v>
          </cell>
          <cell r="C304">
            <v>70.75</v>
          </cell>
          <cell r="D304">
            <v>23.583333333333332</v>
          </cell>
          <cell r="E304">
            <v>594160.9957346603</v>
          </cell>
        </row>
        <row r="305">
          <cell r="A305">
            <v>284</v>
          </cell>
          <cell r="B305">
            <v>142</v>
          </cell>
          <cell r="C305">
            <v>71</v>
          </cell>
          <cell r="D305">
            <v>23.666666666666668</v>
          </cell>
          <cell r="E305">
            <v>559412.33164508583</v>
          </cell>
        </row>
        <row r="306">
          <cell r="A306">
            <v>285</v>
          </cell>
          <cell r="B306">
            <v>142.5</v>
          </cell>
          <cell r="C306">
            <v>71.25</v>
          </cell>
          <cell r="D306">
            <v>23.75</v>
          </cell>
          <cell r="E306">
            <v>524639.21351935214</v>
          </cell>
        </row>
        <row r="307">
          <cell r="A307">
            <v>286</v>
          </cell>
          <cell r="B307">
            <v>143</v>
          </cell>
          <cell r="C307">
            <v>71.5</v>
          </cell>
          <cell r="D307">
            <v>23.833333333333332</v>
          </cell>
          <cell r="E307">
            <v>489841.48337365373</v>
          </cell>
        </row>
        <row r="308">
          <cell r="A308">
            <v>287</v>
          </cell>
          <cell r="B308">
            <v>143.5</v>
          </cell>
          <cell r="C308">
            <v>71.75</v>
          </cell>
          <cell r="D308">
            <v>23.916666666666668</v>
          </cell>
          <cell r="E308">
            <v>455018.98300430109</v>
          </cell>
        </row>
        <row r="309">
          <cell r="A309">
            <v>288</v>
          </cell>
          <cell r="B309">
            <v>144</v>
          </cell>
          <cell r="C309">
            <v>72</v>
          </cell>
          <cell r="D309">
            <v>24</v>
          </cell>
          <cell r="E309">
            <v>420171.55398691859</v>
          </cell>
        </row>
        <row r="310">
          <cell r="A310">
            <v>289</v>
          </cell>
          <cell r="B310">
            <v>144.5</v>
          </cell>
          <cell r="C310">
            <v>72.25</v>
          </cell>
          <cell r="D310">
            <v>24.083333333333332</v>
          </cell>
          <cell r="E310">
            <v>385299.03767564078</v>
          </cell>
        </row>
        <row r="311">
          <cell r="A311">
            <v>290</v>
          </cell>
          <cell r="B311">
            <v>145</v>
          </cell>
          <cell r="C311">
            <v>72.5</v>
          </cell>
          <cell r="D311">
            <v>24.166666666666668</v>
          </cell>
          <cell r="E311">
            <v>350401.27520230709</v>
          </cell>
        </row>
        <row r="312">
          <cell r="A312">
            <v>291</v>
          </cell>
          <cell r="B312">
            <v>145.5</v>
          </cell>
          <cell r="C312">
            <v>72.75</v>
          </cell>
          <cell r="D312">
            <v>24.25</v>
          </cell>
          <cell r="E312">
            <v>315478.10747565527</v>
          </cell>
        </row>
        <row r="313">
          <cell r="A313">
            <v>292</v>
          </cell>
          <cell r="B313">
            <v>146</v>
          </cell>
          <cell r="C313">
            <v>73</v>
          </cell>
          <cell r="D313">
            <v>24.333333333333332</v>
          </cell>
          <cell r="E313">
            <v>280529.37518051302</v>
          </cell>
        </row>
        <row r="314">
          <cell r="A314">
            <v>293</v>
          </cell>
          <cell r="B314">
            <v>146.5</v>
          </cell>
          <cell r="C314">
            <v>73.25</v>
          </cell>
          <cell r="D314">
            <v>24.416666666666668</v>
          </cell>
          <cell r="E314">
            <v>245554.91877698814</v>
          </cell>
        </row>
        <row r="315">
          <cell r="A315">
            <v>294</v>
          </cell>
          <cell r="B315">
            <v>147</v>
          </cell>
          <cell r="C315">
            <v>73.5</v>
          </cell>
          <cell r="D315">
            <v>24.5</v>
          </cell>
          <cell r="E315">
            <v>210554.5784996576</v>
          </cell>
        </row>
        <row r="316">
          <cell r="A316">
            <v>295</v>
          </cell>
          <cell r="B316">
            <v>147.5</v>
          </cell>
          <cell r="C316">
            <v>73.75</v>
          </cell>
          <cell r="D316">
            <v>24.583333333333332</v>
          </cell>
          <cell r="E316">
            <v>175528.19435675436</v>
          </cell>
        </row>
        <row r="317">
          <cell r="A317">
            <v>296</v>
          </cell>
          <cell r="B317">
            <v>148</v>
          </cell>
          <cell r="C317">
            <v>74</v>
          </cell>
          <cell r="D317">
            <v>24.666666666666668</v>
          </cell>
          <cell r="E317">
            <v>140475.60612935325</v>
          </cell>
        </row>
        <row r="318">
          <cell r="A318">
            <v>297</v>
          </cell>
          <cell r="B318">
            <v>148.5</v>
          </cell>
          <cell r="C318">
            <v>74.25</v>
          </cell>
          <cell r="D318">
            <v>24.75</v>
          </cell>
          <cell r="E318">
            <v>105396.65337055514</v>
          </cell>
        </row>
        <row r="319">
          <cell r="A319">
            <v>298</v>
          </cell>
          <cell r="B319">
            <v>149</v>
          </cell>
          <cell r="C319">
            <v>74.5</v>
          </cell>
          <cell r="D319">
            <v>24.833333333333332</v>
          </cell>
          <cell r="E319">
            <v>70291.175404669368</v>
          </cell>
        </row>
        <row r="320">
          <cell r="A320">
            <v>299</v>
          </cell>
          <cell r="B320">
            <v>149.5</v>
          </cell>
          <cell r="C320">
            <v>74.75</v>
          </cell>
          <cell r="D320">
            <v>24.916666666666668</v>
          </cell>
          <cell r="E320">
            <v>35159.011326394946</v>
          </cell>
        </row>
        <row r="321">
          <cell r="A321">
            <v>300</v>
          </cell>
          <cell r="B321">
            <v>150</v>
          </cell>
          <cell r="C321">
            <v>75</v>
          </cell>
          <cell r="D321">
            <v>25</v>
          </cell>
          <cell r="E321">
            <v>0</v>
          </cell>
        </row>
        <row r="322">
          <cell r="A322">
            <v>301</v>
          </cell>
          <cell r="B322">
            <v>150.5</v>
          </cell>
          <cell r="C322">
            <v>75.25</v>
          </cell>
          <cell r="D322">
            <v>25.083333333333332</v>
          </cell>
          <cell r="E322">
            <v>0</v>
          </cell>
        </row>
        <row r="323">
          <cell r="A323">
            <v>302</v>
          </cell>
          <cell r="B323">
            <v>151</v>
          </cell>
          <cell r="C323">
            <v>75.5</v>
          </cell>
          <cell r="D323">
            <v>25.166666666666668</v>
          </cell>
          <cell r="E323">
            <v>0</v>
          </cell>
        </row>
        <row r="324">
          <cell r="A324">
            <v>303</v>
          </cell>
          <cell r="B324">
            <v>151.5</v>
          </cell>
          <cell r="C324">
            <v>75.75</v>
          </cell>
          <cell r="D324">
            <v>25.25</v>
          </cell>
          <cell r="E324">
            <v>0</v>
          </cell>
        </row>
        <row r="325">
          <cell r="A325">
            <v>304</v>
          </cell>
          <cell r="B325">
            <v>152</v>
          </cell>
          <cell r="C325">
            <v>76</v>
          </cell>
          <cell r="D325">
            <v>25.333333333333332</v>
          </cell>
          <cell r="E325">
            <v>0</v>
          </cell>
        </row>
        <row r="326">
          <cell r="A326">
            <v>305</v>
          </cell>
          <cell r="B326">
            <v>152.5</v>
          </cell>
          <cell r="C326">
            <v>76.25</v>
          </cell>
          <cell r="D326">
            <v>25.416666666666668</v>
          </cell>
          <cell r="E326">
            <v>0</v>
          </cell>
        </row>
        <row r="327">
          <cell r="A327">
            <v>306</v>
          </cell>
          <cell r="B327">
            <v>153</v>
          </cell>
          <cell r="C327">
            <v>76.5</v>
          </cell>
          <cell r="D327">
            <v>25.5</v>
          </cell>
          <cell r="E327">
            <v>0</v>
          </cell>
        </row>
        <row r="328">
          <cell r="A328">
            <v>307</v>
          </cell>
          <cell r="B328">
            <v>153.5</v>
          </cell>
          <cell r="C328">
            <v>76.75</v>
          </cell>
          <cell r="D328">
            <v>25.583333333333332</v>
          </cell>
          <cell r="E328">
            <v>0</v>
          </cell>
        </row>
        <row r="329">
          <cell r="A329">
            <v>308</v>
          </cell>
          <cell r="B329">
            <v>154</v>
          </cell>
          <cell r="C329">
            <v>77</v>
          </cell>
          <cell r="D329">
            <v>25.666666666666668</v>
          </cell>
          <cell r="E329">
            <v>0</v>
          </cell>
        </row>
        <row r="330">
          <cell r="A330">
            <v>309</v>
          </cell>
          <cell r="B330">
            <v>154.5</v>
          </cell>
          <cell r="C330">
            <v>77.25</v>
          </cell>
          <cell r="D330">
            <v>25.75</v>
          </cell>
          <cell r="E330">
            <v>0</v>
          </cell>
        </row>
        <row r="331">
          <cell r="A331">
            <v>310</v>
          </cell>
          <cell r="B331">
            <v>155</v>
          </cell>
          <cell r="C331">
            <v>77.5</v>
          </cell>
          <cell r="D331">
            <v>25.833333333333332</v>
          </cell>
          <cell r="E331">
            <v>0</v>
          </cell>
        </row>
        <row r="332">
          <cell r="A332">
            <v>311</v>
          </cell>
          <cell r="B332">
            <v>155.5</v>
          </cell>
          <cell r="C332">
            <v>77.75</v>
          </cell>
          <cell r="D332">
            <v>25.916666666666668</v>
          </cell>
          <cell r="E332">
            <v>0</v>
          </cell>
        </row>
        <row r="333">
          <cell r="A333">
            <v>312</v>
          </cell>
          <cell r="B333">
            <v>156</v>
          </cell>
          <cell r="C333">
            <v>78</v>
          </cell>
          <cell r="D333">
            <v>26</v>
          </cell>
          <cell r="E333">
            <v>0</v>
          </cell>
        </row>
        <row r="334">
          <cell r="A334">
            <v>313</v>
          </cell>
          <cell r="B334">
            <v>156.5</v>
          </cell>
          <cell r="C334">
            <v>78.25</v>
          </cell>
          <cell r="D334">
            <v>26.083333333333332</v>
          </cell>
          <cell r="E334">
            <v>0</v>
          </cell>
        </row>
        <row r="335">
          <cell r="A335">
            <v>314</v>
          </cell>
          <cell r="B335">
            <v>157</v>
          </cell>
          <cell r="C335">
            <v>78.5</v>
          </cell>
          <cell r="D335">
            <v>26.166666666666668</v>
          </cell>
          <cell r="E335">
            <v>0</v>
          </cell>
        </row>
        <row r="336">
          <cell r="A336">
            <v>315</v>
          </cell>
          <cell r="B336">
            <v>157.5</v>
          </cell>
          <cell r="C336">
            <v>78.75</v>
          </cell>
          <cell r="D336">
            <v>26.25</v>
          </cell>
          <cell r="E336">
            <v>0</v>
          </cell>
        </row>
        <row r="337">
          <cell r="A337">
            <v>316</v>
          </cell>
          <cell r="B337">
            <v>158</v>
          </cell>
          <cell r="C337">
            <v>79</v>
          </cell>
          <cell r="D337">
            <v>26.333333333333332</v>
          </cell>
          <cell r="E337">
            <v>0</v>
          </cell>
        </row>
        <row r="338">
          <cell r="A338">
            <v>317</v>
          </cell>
          <cell r="B338">
            <v>158.5</v>
          </cell>
          <cell r="C338">
            <v>79.25</v>
          </cell>
          <cell r="D338">
            <v>26.416666666666668</v>
          </cell>
          <cell r="E338">
            <v>0</v>
          </cell>
        </row>
        <row r="339">
          <cell r="A339">
            <v>318</v>
          </cell>
          <cell r="B339">
            <v>159</v>
          </cell>
          <cell r="C339">
            <v>79.5</v>
          </cell>
          <cell r="D339">
            <v>26.5</v>
          </cell>
          <cell r="E339">
            <v>0</v>
          </cell>
        </row>
        <row r="340">
          <cell r="A340">
            <v>319</v>
          </cell>
          <cell r="B340">
            <v>159.5</v>
          </cell>
          <cell r="C340">
            <v>79.75</v>
          </cell>
          <cell r="D340">
            <v>26.583333333333332</v>
          </cell>
          <cell r="E340">
            <v>0</v>
          </cell>
        </row>
        <row r="341">
          <cell r="A341">
            <v>320</v>
          </cell>
          <cell r="B341">
            <v>160</v>
          </cell>
          <cell r="C341">
            <v>80</v>
          </cell>
          <cell r="D341">
            <v>26.666666666666668</v>
          </cell>
          <cell r="E341">
            <v>0</v>
          </cell>
        </row>
        <row r="342">
          <cell r="A342">
            <v>321</v>
          </cell>
          <cell r="B342">
            <v>160.5</v>
          </cell>
          <cell r="C342">
            <v>80.25</v>
          </cell>
          <cell r="D342">
            <v>26.75</v>
          </cell>
          <cell r="E342">
            <v>0</v>
          </cell>
        </row>
        <row r="343">
          <cell r="A343">
            <v>322</v>
          </cell>
          <cell r="B343">
            <v>161</v>
          </cell>
          <cell r="C343">
            <v>80.5</v>
          </cell>
          <cell r="D343">
            <v>26.833333333333332</v>
          </cell>
          <cell r="E343">
            <v>0</v>
          </cell>
        </row>
        <row r="344">
          <cell r="A344">
            <v>323</v>
          </cell>
          <cell r="B344">
            <v>161.5</v>
          </cell>
          <cell r="C344">
            <v>80.75</v>
          </cell>
          <cell r="D344">
            <v>26.916666666666668</v>
          </cell>
          <cell r="E344">
            <v>0</v>
          </cell>
        </row>
        <row r="345">
          <cell r="A345">
            <v>324</v>
          </cell>
          <cell r="B345">
            <v>162</v>
          </cell>
          <cell r="C345">
            <v>81</v>
          </cell>
          <cell r="D345">
            <v>27</v>
          </cell>
          <cell r="E345">
            <v>0</v>
          </cell>
        </row>
        <row r="346">
          <cell r="A346">
            <v>325</v>
          </cell>
          <cell r="B346">
            <v>162.5</v>
          </cell>
          <cell r="C346">
            <v>81.25</v>
          </cell>
          <cell r="D346">
            <v>27.083333333333332</v>
          </cell>
          <cell r="E346">
            <v>0</v>
          </cell>
        </row>
        <row r="347">
          <cell r="A347">
            <v>326</v>
          </cell>
          <cell r="B347">
            <v>163</v>
          </cell>
          <cell r="C347">
            <v>81.5</v>
          </cell>
          <cell r="D347">
            <v>27.166666666666668</v>
          </cell>
          <cell r="E347">
            <v>0</v>
          </cell>
        </row>
        <row r="348">
          <cell r="A348">
            <v>327</v>
          </cell>
          <cell r="B348">
            <v>163.5</v>
          </cell>
          <cell r="C348">
            <v>81.75</v>
          </cell>
          <cell r="D348">
            <v>27.25</v>
          </cell>
          <cell r="E348">
            <v>0</v>
          </cell>
        </row>
        <row r="349">
          <cell r="A349">
            <v>328</v>
          </cell>
          <cell r="B349">
            <v>164</v>
          </cell>
          <cell r="C349">
            <v>82</v>
          </cell>
          <cell r="D349">
            <v>27.333333333333332</v>
          </cell>
          <cell r="E349">
            <v>0</v>
          </cell>
        </row>
        <row r="350">
          <cell r="A350">
            <v>329</v>
          </cell>
          <cell r="B350">
            <v>164.5</v>
          </cell>
          <cell r="C350">
            <v>82.25</v>
          </cell>
          <cell r="D350">
            <v>27.416666666666668</v>
          </cell>
          <cell r="E350">
            <v>0</v>
          </cell>
        </row>
        <row r="351">
          <cell r="A351">
            <v>330</v>
          </cell>
          <cell r="B351">
            <v>165</v>
          </cell>
          <cell r="C351">
            <v>82.5</v>
          </cell>
          <cell r="D351">
            <v>27.5</v>
          </cell>
          <cell r="E351">
            <v>0</v>
          </cell>
        </row>
        <row r="352">
          <cell r="A352">
            <v>331</v>
          </cell>
          <cell r="B352">
            <v>165.5</v>
          </cell>
          <cell r="C352">
            <v>82.75</v>
          </cell>
          <cell r="D352">
            <v>27.583333333333332</v>
          </cell>
          <cell r="E352">
            <v>0</v>
          </cell>
        </row>
        <row r="353">
          <cell r="A353">
            <v>332</v>
          </cell>
          <cell r="B353">
            <v>166</v>
          </cell>
          <cell r="C353">
            <v>83</v>
          </cell>
          <cell r="D353">
            <v>27.666666666666668</v>
          </cell>
          <cell r="E353">
            <v>0</v>
          </cell>
        </row>
        <row r="354">
          <cell r="A354">
            <v>333</v>
          </cell>
          <cell r="B354">
            <v>166.5</v>
          </cell>
          <cell r="C354">
            <v>83.25</v>
          </cell>
          <cell r="D354">
            <v>27.75</v>
          </cell>
          <cell r="E354">
            <v>0</v>
          </cell>
        </row>
        <row r="355">
          <cell r="A355">
            <v>334</v>
          </cell>
          <cell r="B355">
            <v>167</v>
          </cell>
          <cell r="C355">
            <v>83.5</v>
          </cell>
          <cell r="D355">
            <v>27.833333333333332</v>
          </cell>
          <cell r="E355">
            <v>0</v>
          </cell>
        </row>
        <row r="356">
          <cell r="A356">
            <v>335</v>
          </cell>
          <cell r="B356">
            <v>167.5</v>
          </cell>
          <cell r="C356">
            <v>83.75</v>
          </cell>
          <cell r="D356">
            <v>27.916666666666668</v>
          </cell>
          <cell r="E356">
            <v>0</v>
          </cell>
        </row>
        <row r="357">
          <cell r="A357">
            <v>336</v>
          </cell>
          <cell r="B357">
            <v>168</v>
          </cell>
          <cell r="C357">
            <v>84</v>
          </cell>
          <cell r="D357">
            <v>28</v>
          </cell>
          <cell r="E357">
            <v>0</v>
          </cell>
        </row>
        <row r="358">
          <cell r="A358">
            <v>337</v>
          </cell>
          <cell r="B358">
            <v>168.5</v>
          </cell>
          <cell r="C358">
            <v>84.25</v>
          </cell>
          <cell r="D358">
            <v>28.083333333333332</v>
          </cell>
          <cell r="E358">
            <v>0</v>
          </cell>
        </row>
        <row r="359">
          <cell r="A359">
            <v>338</v>
          </cell>
          <cell r="B359">
            <v>169</v>
          </cell>
          <cell r="C359">
            <v>84.5</v>
          </cell>
          <cell r="D359">
            <v>28.166666666666668</v>
          </cell>
          <cell r="E359">
            <v>0</v>
          </cell>
        </row>
        <row r="360">
          <cell r="A360">
            <v>339</v>
          </cell>
          <cell r="B360">
            <v>169.5</v>
          </cell>
          <cell r="C360">
            <v>84.75</v>
          </cell>
          <cell r="D360">
            <v>28.25</v>
          </cell>
          <cell r="E360">
            <v>0</v>
          </cell>
        </row>
        <row r="361">
          <cell r="A361">
            <v>340</v>
          </cell>
          <cell r="B361">
            <v>170</v>
          </cell>
          <cell r="C361">
            <v>85</v>
          </cell>
          <cell r="D361">
            <v>28.333333333333332</v>
          </cell>
          <cell r="E361">
            <v>0</v>
          </cell>
        </row>
        <row r="362">
          <cell r="A362">
            <v>341</v>
          </cell>
          <cell r="B362">
            <v>170.5</v>
          </cell>
          <cell r="C362">
            <v>85.25</v>
          </cell>
          <cell r="D362">
            <v>28.416666666666668</v>
          </cell>
          <cell r="E362">
            <v>0</v>
          </cell>
        </row>
        <row r="363">
          <cell r="A363">
            <v>342</v>
          </cell>
          <cell r="B363">
            <v>171</v>
          </cell>
          <cell r="C363">
            <v>85.5</v>
          </cell>
          <cell r="D363">
            <v>28.5</v>
          </cell>
          <cell r="E363">
            <v>0</v>
          </cell>
        </row>
        <row r="364">
          <cell r="A364">
            <v>343</v>
          </cell>
          <cell r="B364">
            <v>171.5</v>
          </cell>
          <cell r="C364">
            <v>85.75</v>
          </cell>
          <cell r="D364">
            <v>28.583333333333332</v>
          </cell>
          <cell r="E364">
            <v>0</v>
          </cell>
        </row>
        <row r="365">
          <cell r="A365">
            <v>344</v>
          </cell>
          <cell r="B365">
            <v>172</v>
          </cell>
          <cell r="C365">
            <v>86</v>
          </cell>
          <cell r="D365">
            <v>28.666666666666668</v>
          </cell>
          <cell r="E365">
            <v>0</v>
          </cell>
        </row>
        <row r="366">
          <cell r="A366">
            <v>345</v>
          </cell>
          <cell r="B366">
            <v>172.5</v>
          </cell>
          <cell r="C366">
            <v>86.25</v>
          </cell>
          <cell r="D366">
            <v>28.75</v>
          </cell>
          <cell r="E366">
            <v>0</v>
          </cell>
        </row>
        <row r="367">
          <cell r="A367">
            <v>346</v>
          </cell>
          <cell r="B367">
            <v>173</v>
          </cell>
          <cell r="C367">
            <v>86.5</v>
          </cell>
          <cell r="D367">
            <v>28.833333333333332</v>
          </cell>
          <cell r="E367">
            <v>0</v>
          </cell>
        </row>
        <row r="368">
          <cell r="A368">
            <v>347</v>
          </cell>
          <cell r="B368">
            <v>173.5</v>
          </cell>
          <cell r="C368">
            <v>86.75</v>
          </cell>
          <cell r="D368">
            <v>28.916666666666668</v>
          </cell>
          <cell r="E368">
            <v>0</v>
          </cell>
        </row>
        <row r="369">
          <cell r="A369">
            <v>348</v>
          </cell>
          <cell r="B369">
            <v>174</v>
          </cell>
          <cell r="C369">
            <v>87</v>
          </cell>
          <cell r="D369">
            <v>29</v>
          </cell>
          <cell r="E369">
            <v>0</v>
          </cell>
        </row>
        <row r="370">
          <cell r="A370">
            <v>349</v>
          </cell>
          <cell r="B370">
            <v>174.5</v>
          </cell>
          <cell r="C370">
            <v>87.25</v>
          </cell>
          <cell r="D370">
            <v>29.083333333333332</v>
          </cell>
          <cell r="E370">
            <v>0</v>
          </cell>
        </row>
        <row r="371">
          <cell r="A371">
            <v>350</v>
          </cell>
          <cell r="B371">
            <v>175</v>
          </cell>
          <cell r="C371">
            <v>87.5</v>
          </cell>
          <cell r="D371">
            <v>29.166666666666668</v>
          </cell>
          <cell r="E371">
            <v>0</v>
          </cell>
        </row>
        <row r="372">
          <cell r="A372">
            <v>351</v>
          </cell>
          <cell r="B372">
            <v>175.5</v>
          </cell>
          <cell r="C372">
            <v>87.75</v>
          </cell>
          <cell r="D372">
            <v>29.25</v>
          </cell>
          <cell r="E372">
            <v>0</v>
          </cell>
        </row>
        <row r="373">
          <cell r="A373">
            <v>352</v>
          </cell>
          <cell r="B373">
            <v>176</v>
          </cell>
          <cell r="C373">
            <v>88</v>
          </cell>
          <cell r="D373">
            <v>29.333333333333332</v>
          </cell>
          <cell r="E373">
            <v>0</v>
          </cell>
        </row>
        <row r="374">
          <cell r="A374">
            <v>353</v>
          </cell>
          <cell r="B374">
            <v>176.5</v>
          </cell>
          <cell r="C374">
            <v>88.25</v>
          </cell>
          <cell r="D374">
            <v>29.416666666666668</v>
          </cell>
          <cell r="E374">
            <v>0</v>
          </cell>
        </row>
        <row r="375">
          <cell r="A375">
            <v>354</v>
          </cell>
          <cell r="B375">
            <v>177</v>
          </cell>
          <cell r="C375">
            <v>88.5</v>
          </cell>
          <cell r="D375">
            <v>29.5</v>
          </cell>
          <cell r="E375">
            <v>0</v>
          </cell>
        </row>
        <row r="376">
          <cell r="A376">
            <v>355</v>
          </cell>
          <cell r="B376">
            <v>177.5</v>
          </cell>
          <cell r="C376">
            <v>88.75</v>
          </cell>
          <cell r="D376">
            <v>29.583333333333332</v>
          </cell>
          <cell r="E376">
            <v>0</v>
          </cell>
        </row>
        <row r="377">
          <cell r="A377">
            <v>356</v>
          </cell>
          <cell r="B377">
            <v>178</v>
          </cell>
          <cell r="C377">
            <v>89</v>
          </cell>
          <cell r="D377">
            <v>29.666666666666668</v>
          </cell>
          <cell r="E377">
            <v>0</v>
          </cell>
        </row>
        <row r="378">
          <cell r="A378">
            <v>357</v>
          </cell>
          <cell r="B378">
            <v>178.5</v>
          </cell>
          <cell r="C378">
            <v>89.25</v>
          </cell>
          <cell r="D378">
            <v>29.75</v>
          </cell>
          <cell r="E378">
            <v>0</v>
          </cell>
        </row>
        <row r="379">
          <cell r="A379">
            <v>358</v>
          </cell>
          <cell r="B379">
            <v>179</v>
          </cell>
          <cell r="C379">
            <v>89.5</v>
          </cell>
          <cell r="D379">
            <v>29.833333333333332</v>
          </cell>
          <cell r="E379">
            <v>0</v>
          </cell>
        </row>
        <row r="380">
          <cell r="A380">
            <v>359</v>
          </cell>
          <cell r="B380">
            <v>179.5</v>
          </cell>
          <cell r="C380">
            <v>89.75</v>
          </cell>
          <cell r="D380">
            <v>29.916666666666668</v>
          </cell>
          <cell r="E380">
            <v>0</v>
          </cell>
        </row>
        <row r="381">
          <cell r="A381">
            <v>360</v>
          </cell>
          <cell r="B381">
            <v>180</v>
          </cell>
          <cell r="C381">
            <v>90</v>
          </cell>
          <cell r="D381">
            <v>30</v>
          </cell>
          <cell r="E381">
            <v>0</v>
          </cell>
        </row>
      </sheetData>
      <sheetData sheetId="9">
        <row r="17">
          <cell r="AG17">
            <v>1.4857039177990623</v>
          </cell>
        </row>
        <row r="18">
          <cell r="AA18">
            <v>2.7952741933236824</v>
          </cell>
        </row>
        <row r="19">
          <cell r="T19">
            <v>11.682303783569054</v>
          </cell>
        </row>
      </sheetData>
      <sheetData sheetId="10"/>
      <sheetData sheetId="11"/>
      <sheetData sheetId="12"/>
      <sheetData sheetId="13"/>
      <sheetData sheetId="14"/>
      <sheetData sheetId="15"/>
      <sheetData sheetId="16"/>
      <sheetData sheetId="17"/>
      <sheetData sheetId="1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rocedure"/>
      <sheetName val="Premiums"/>
      <sheetName val="historic"/>
      <sheetName val="Sheet1"/>
      <sheetName val="Signaalrapport"/>
      <sheetName val="BBG Rates"/>
      <sheetName val="IK 5Y fixed"/>
      <sheetName val="10Y fix"/>
      <sheetName val="13Y fix"/>
      <sheetName val="15Y fix"/>
      <sheetName val="18Y fix"/>
      <sheetName val="20Y fix"/>
      <sheetName val="25Y fix"/>
      <sheetName val="30Y fix"/>
      <sheetName val="10y 8-3-3"/>
      <sheetName val="25y 8-3-3"/>
      <sheetName val="check 25Y"/>
      <sheetName val="check 30Y"/>
      <sheetName val="10Y 5-5-5"/>
      <sheetName val="15Y 5-5-5"/>
      <sheetName val="20Y 5-5-5"/>
      <sheetName val="25Y 5-5-5"/>
      <sheetName val="25Y 10-5-5"/>
      <sheetName val="25Y 20-5-5"/>
    </sheetNames>
    <sheetDataSet>
      <sheetData sheetId="0"/>
      <sheetData sheetId="1"/>
      <sheetData sheetId="2"/>
      <sheetData sheetId="3"/>
      <sheetData sheetId="4">
        <row r="5">
          <cell r="C5">
            <v>6.27</v>
          </cell>
          <cell r="D5">
            <v>3.360295861419599</v>
          </cell>
          <cell r="E5">
            <v>-1.94</v>
          </cell>
          <cell r="F5">
            <v>4.33</v>
          </cell>
        </row>
        <row r="6">
          <cell r="C6">
            <v>5.23</v>
          </cell>
          <cell r="D6">
            <v>2.5449718449731664</v>
          </cell>
          <cell r="E6">
            <v>-1.58</v>
          </cell>
          <cell r="F6">
            <v>3.6500000000000004</v>
          </cell>
        </row>
        <row r="7">
          <cell r="C7">
            <v>5.23</v>
          </cell>
          <cell r="D7">
            <v>2.5187488537535914</v>
          </cell>
          <cell r="E7">
            <v>-1.65</v>
          </cell>
          <cell r="F7">
            <v>3.5800000000000005</v>
          </cell>
        </row>
        <row r="8">
          <cell r="C8">
            <v>5.23</v>
          </cell>
          <cell r="D8">
            <v>2.5077452165485559</v>
          </cell>
          <cell r="E8">
            <v>-1.66</v>
          </cell>
          <cell r="F8">
            <v>3.5700000000000003</v>
          </cell>
        </row>
        <row r="9">
          <cell r="C9">
            <v>5.25</v>
          </cell>
          <cell r="D9">
            <v>2.5018092282127609</v>
          </cell>
          <cell r="E9">
            <v>-1.08</v>
          </cell>
          <cell r="F9">
            <v>4.17</v>
          </cell>
        </row>
        <row r="10">
          <cell r="C10">
            <v>5.14</v>
          </cell>
          <cell r="D10">
            <v>2.5268439152801316</v>
          </cell>
          <cell r="E10">
            <v>-2</v>
          </cell>
          <cell r="F10">
            <v>3.1399999999999997</v>
          </cell>
        </row>
        <row r="11">
          <cell r="C11">
            <v>5.47</v>
          </cell>
          <cell r="D11">
            <v>2.5259967952078721</v>
          </cell>
          <cell r="E11">
            <v>-0.32</v>
          </cell>
          <cell r="F11">
            <v>5.1499999999999995</v>
          </cell>
        </row>
        <row r="12">
          <cell r="C12">
            <v>5.2</v>
          </cell>
          <cell r="D12">
            <v>2.5867226043033784</v>
          </cell>
          <cell r="E12">
            <v>-1.96</v>
          </cell>
          <cell r="F12">
            <v>3.24</v>
          </cell>
        </row>
        <row r="13">
          <cell r="C13">
            <v>5.55</v>
          </cell>
          <cell r="D13">
            <v>2.5913726075931462</v>
          </cell>
          <cell r="E13">
            <v>-1.75</v>
          </cell>
          <cell r="F13">
            <v>3.8</v>
          </cell>
        </row>
        <row r="14">
          <cell r="C14">
            <v>5.19</v>
          </cell>
          <cell r="D14">
            <v>2.533743058249605</v>
          </cell>
          <cell r="E14">
            <v>-1.9</v>
          </cell>
          <cell r="F14">
            <v>3.2900000000000005</v>
          </cell>
        </row>
        <row r="15">
          <cell r="C15">
            <v>5.22</v>
          </cell>
          <cell r="D15">
            <v>2.5360061806442213</v>
          </cell>
          <cell r="E15">
            <v>-1.87</v>
          </cell>
          <cell r="F15">
            <v>3.3499999999999996</v>
          </cell>
        </row>
        <row r="16">
          <cell r="C16">
            <v>5.16</v>
          </cell>
          <cell r="D16">
            <v>2.5578898341003327</v>
          </cell>
          <cell r="E16">
            <v>-1.9</v>
          </cell>
          <cell r="F16">
            <v>3.2600000000000002</v>
          </cell>
        </row>
        <row r="17">
          <cell r="C17">
            <v>5.18</v>
          </cell>
          <cell r="D17">
            <v>2.5736451134945928</v>
          </cell>
          <cell r="E17">
            <v>-1.77</v>
          </cell>
          <cell r="F17">
            <v>3.4099999999999997</v>
          </cell>
        </row>
        <row r="18">
          <cell r="C18">
            <v>5.15</v>
          </cell>
          <cell r="D18">
            <v>2.5807902808146523</v>
          </cell>
          <cell r="E18">
            <v>-1.89</v>
          </cell>
          <cell r="F18">
            <v>3.2600000000000007</v>
          </cell>
        </row>
        <row r="19">
          <cell r="C19">
            <v>5.2</v>
          </cell>
          <cell r="D19">
            <v>2.5750924366539274</v>
          </cell>
          <cell r="E19">
            <v>-1.87</v>
          </cell>
          <cell r="F19">
            <v>3.33</v>
          </cell>
        </row>
        <row r="20">
          <cell r="C20">
            <v>5.28</v>
          </cell>
          <cell r="D20">
            <v>2.5506648227218087</v>
          </cell>
          <cell r="E20">
            <v>-1.85</v>
          </cell>
          <cell r="F20">
            <v>3.43</v>
          </cell>
        </row>
        <row r="21">
          <cell r="C21">
            <v>5.5</v>
          </cell>
          <cell r="D21">
            <v>2.7246634508562106</v>
          </cell>
          <cell r="E21">
            <v>-1.03</v>
          </cell>
          <cell r="F21">
            <v>4.47</v>
          </cell>
        </row>
      </sheetData>
      <sheetData sheetId="5"/>
      <sheetData sheetId="6">
        <row r="4">
          <cell r="L4">
            <v>0.14130207539080847</v>
          </cell>
        </row>
      </sheetData>
      <sheetData sheetId="7">
        <row r="4">
          <cell r="L4">
            <v>0.49443748192235754</v>
          </cell>
        </row>
      </sheetData>
      <sheetData sheetId="8">
        <row r="4">
          <cell r="L4">
            <v>0.79932315611814719</v>
          </cell>
        </row>
      </sheetData>
      <sheetData sheetId="9">
        <row r="4">
          <cell r="L4">
            <v>1.0382832422933879</v>
          </cell>
        </row>
      </sheetData>
      <sheetData sheetId="10">
        <row r="4">
          <cell r="L4">
            <v>1.4536178325427282</v>
          </cell>
        </row>
      </sheetData>
      <sheetData sheetId="11">
        <row r="4">
          <cell r="L4">
            <v>1.7470322797985134</v>
          </cell>
        </row>
      </sheetData>
      <sheetData sheetId="12">
        <row r="4">
          <cell r="L4">
            <v>2.5999519556558375</v>
          </cell>
        </row>
      </sheetData>
      <sheetData sheetId="13">
        <row r="4">
          <cell r="L4">
            <v>3.5729658929087922</v>
          </cell>
        </row>
      </sheetData>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I18"/>
  <sheetViews>
    <sheetView zoomScale="90" zoomScaleNormal="90" workbookViewId="0">
      <selection activeCell="M20" sqref="M20"/>
    </sheetView>
  </sheetViews>
  <sheetFormatPr defaultRowHeight="14.4"/>
  <sheetData>
    <row r="1" spans="1:9" s="49" customFormat="1" ht="15" thickBot="1">
      <c r="A1" s="49" t="s">
        <v>343</v>
      </c>
    </row>
    <row r="3" spans="1:9">
      <c r="A3" s="31" t="s">
        <v>344</v>
      </c>
      <c r="B3" t="s">
        <v>345</v>
      </c>
    </row>
    <row r="4" spans="1:9" s="16" customFormat="1">
      <c r="B4" s="16" t="s">
        <v>348</v>
      </c>
    </row>
    <row r="6" spans="1:9">
      <c r="A6" s="31" t="s">
        <v>346</v>
      </c>
      <c r="B6" t="s">
        <v>347</v>
      </c>
    </row>
    <row r="7" spans="1:9">
      <c r="B7" t="s">
        <v>578</v>
      </c>
      <c r="I7" s="16"/>
    </row>
    <row r="8" spans="1:9">
      <c r="B8" t="s">
        <v>579</v>
      </c>
    </row>
    <row r="9" spans="1:9">
      <c r="B9" t="s">
        <v>440</v>
      </c>
    </row>
    <row r="11" spans="1:9">
      <c r="A11" s="31" t="s">
        <v>349</v>
      </c>
      <c r="B11" t="s">
        <v>580</v>
      </c>
    </row>
    <row r="12" spans="1:9">
      <c r="B12" t="s">
        <v>581</v>
      </c>
    </row>
    <row r="13" spans="1:9" s="16" customFormat="1">
      <c r="B13" s="16" t="s">
        <v>582</v>
      </c>
    </row>
    <row r="15" spans="1:9">
      <c r="A15" s="31" t="s">
        <v>350</v>
      </c>
      <c r="B15" s="16" t="s">
        <v>351</v>
      </c>
    </row>
    <row r="18" spans="1:1">
      <c r="A18" s="50"/>
    </row>
  </sheetData>
  <pageMargins left="0.7" right="0.7" top="0.75" bottom="0.75" header="0.3" footer="0.3"/>
  <pageSetup orientation="portrait" r:id="rId1"/>
  <headerFooter>
    <oddFooter>&amp;C_x000D_&amp;1#&amp;"Calibri"&amp;10&amp;K000000 Public Information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Settings"/>
  <dimension ref="A1:B3"/>
  <sheetViews>
    <sheetView showGridLines="0" workbookViewId="0">
      <selection activeCell="D7" sqref="D7"/>
    </sheetView>
  </sheetViews>
  <sheetFormatPr defaultRowHeight="14.4"/>
  <cols>
    <col min="1" max="1" width="11.33203125" bestFit="1" customWidth="1"/>
  </cols>
  <sheetData>
    <row r="1" spans="1:2">
      <c r="A1" t="s">
        <v>211</v>
      </c>
      <c r="B1" s="17"/>
    </row>
    <row r="2" spans="1:2">
      <c r="A2" t="s">
        <v>212</v>
      </c>
      <c r="B2" s="18"/>
    </row>
    <row r="3" spans="1:2">
      <c r="A3" t="s">
        <v>210</v>
      </c>
      <c r="B3" s="1"/>
    </row>
  </sheetData>
  <pageMargins left="0.7" right="0.7" top="0.75" bottom="0.75" header="0.3" footer="0.3"/>
  <pageSetup orientation="portrait" r:id="rId1"/>
  <headerFooter>
    <oddFooter>&amp;C_x000D_&amp;1#&amp;"Calibri"&amp;10&amp;K000000 Public Information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Log"/>
  <dimension ref="A1:A1408"/>
  <sheetViews>
    <sheetView workbookViewId="0">
      <selection activeCell="K14" sqref="K14"/>
    </sheetView>
  </sheetViews>
  <sheetFormatPr defaultColWidth="9.109375" defaultRowHeight="14.4"/>
  <cols>
    <col min="1" max="16384" width="9.109375" style="15"/>
  </cols>
  <sheetData>
    <row r="1" spans="1:1">
      <c r="A1" s="15" t="s">
        <v>219</v>
      </c>
    </row>
    <row r="4" spans="1:1">
      <c r="A4" s="15" t="s">
        <v>220</v>
      </c>
    </row>
    <row r="6" spans="1:1" ht="16.5" customHeight="1"/>
    <row r="7" spans="1:1">
      <c r="A7" s="15" t="s">
        <v>221</v>
      </c>
    </row>
    <row r="10" spans="1:1">
      <c r="A10" s="15" t="s">
        <v>222</v>
      </c>
    </row>
    <row r="13" spans="1:1">
      <c r="A13" s="15" t="s">
        <v>223</v>
      </c>
    </row>
    <row r="14" spans="1:1">
      <c r="A14" s="15" t="s">
        <v>224</v>
      </c>
    </row>
    <row r="15" spans="1:1">
      <c r="A15" s="15" t="s">
        <v>225</v>
      </c>
    </row>
    <row r="16" spans="1:1">
      <c r="A16" s="15" t="s">
        <v>226</v>
      </c>
    </row>
    <row r="17" spans="1:1">
      <c r="A17" s="15" t="s">
        <v>225</v>
      </c>
    </row>
    <row r="18" spans="1:1">
      <c r="A18" s="15" t="s">
        <v>227</v>
      </c>
    </row>
    <row r="19" spans="1:1">
      <c r="A19" s="15" t="s">
        <v>225</v>
      </c>
    </row>
    <row r="20" spans="1:1">
      <c r="A20" s="15" t="s">
        <v>228</v>
      </c>
    </row>
    <row r="21" spans="1:1">
      <c r="A21" s="15" t="s">
        <v>225</v>
      </c>
    </row>
    <row r="22" spans="1:1">
      <c r="A22" s="15" t="s">
        <v>229</v>
      </c>
    </row>
    <row r="23" spans="1:1">
      <c r="A23" s="15" t="s">
        <v>225</v>
      </c>
    </row>
    <row r="24" spans="1:1">
      <c r="A24" s="15" t="s">
        <v>230</v>
      </c>
    </row>
    <row r="27" spans="1:1">
      <c r="A27" s="15" t="s">
        <v>231</v>
      </c>
    </row>
    <row r="30" spans="1:1">
      <c r="A30" s="15" t="s">
        <v>232</v>
      </c>
    </row>
    <row r="31" spans="1:1">
      <c r="A31" s="15" t="s">
        <v>233</v>
      </c>
    </row>
    <row r="34" spans="1:1">
      <c r="A34" s="15" t="s">
        <v>234</v>
      </c>
    </row>
    <row r="37" spans="1:1">
      <c r="A37" s="15" t="s">
        <v>235</v>
      </c>
    </row>
    <row r="38" spans="1:1">
      <c r="A38" s="15" t="s">
        <v>243</v>
      </c>
    </row>
    <row r="39" spans="1:1">
      <c r="A39" s="15" t="s">
        <v>236</v>
      </c>
    </row>
    <row r="40" spans="1:1">
      <c r="A40" s="15" t="s">
        <v>237</v>
      </c>
    </row>
    <row r="41" spans="1:1">
      <c r="A41" s="15" t="s">
        <v>447</v>
      </c>
    </row>
    <row r="44" spans="1:1">
      <c r="A44" s="15" t="s">
        <v>235</v>
      </c>
    </row>
    <row r="45" spans="1:1">
      <c r="A45" s="15" t="s">
        <v>244</v>
      </c>
    </row>
    <row r="46" spans="1:1">
      <c r="A46" s="15" t="s">
        <v>236</v>
      </c>
    </row>
    <row r="47" spans="1:1">
      <c r="A47" s="15" t="s">
        <v>237</v>
      </c>
    </row>
    <row r="48" spans="1:1">
      <c r="A48" s="15" t="s">
        <v>448</v>
      </c>
    </row>
    <row r="51" spans="1:1">
      <c r="A51" s="15" t="s">
        <v>235</v>
      </c>
    </row>
    <row r="52" spans="1:1">
      <c r="A52" s="15" t="s">
        <v>245</v>
      </c>
    </row>
    <row r="53" spans="1:1">
      <c r="A53" s="15" t="s">
        <v>236</v>
      </c>
    </row>
    <row r="54" spans="1:1">
      <c r="A54" s="15" t="s">
        <v>237</v>
      </c>
    </row>
    <row r="55" spans="1:1">
      <c r="A55" s="15" t="s">
        <v>449</v>
      </c>
    </row>
    <row r="58" spans="1:1">
      <c r="A58" s="15" t="s">
        <v>235</v>
      </c>
    </row>
    <row r="59" spans="1:1">
      <c r="A59" s="15" t="s">
        <v>246</v>
      </c>
    </row>
    <row r="60" spans="1:1">
      <c r="A60" s="15" t="s">
        <v>236</v>
      </c>
    </row>
    <row r="61" spans="1:1">
      <c r="A61" s="15" t="s">
        <v>237</v>
      </c>
    </row>
    <row r="62" spans="1:1">
      <c r="A62" s="15" t="s">
        <v>450</v>
      </c>
    </row>
    <row r="65" spans="1:1">
      <c r="A65" s="15" t="s">
        <v>235</v>
      </c>
    </row>
    <row r="66" spans="1:1">
      <c r="A66" s="15" t="s">
        <v>247</v>
      </c>
    </row>
    <row r="67" spans="1:1">
      <c r="A67" s="15" t="s">
        <v>236</v>
      </c>
    </row>
    <row r="68" spans="1:1">
      <c r="A68" s="15" t="s">
        <v>237</v>
      </c>
    </row>
    <row r="69" spans="1:1">
      <c r="A69" s="15" t="s">
        <v>451</v>
      </c>
    </row>
    <row r="72" spans="1:1">
      <c r="A72" s="15" t="s">
        <v>235</v>
      </c>
    </row>
    <row r="73" spans="1:1">
      <c r="A73" s="15" t="s">
        <v>248</v>
      </c>
    </row>
    <row r="74" spans="1:1">
      <c r="A74" s="15" t="s">
        <v>236</v>
      </c>
    </row>
    <row r="75" spans="1:1">
      <c r="A75" s="15" t="s">
        <v>237</v>
      </c>
    </row>
    <row r="76" spans="1:1">
      <c r="A76" s="15" t="s">
        <v>452</v>
      </c>
    </row>
    <row r="79" spans="1:1">
      <c r="A79" s="15" t="s">
        <v>235</v>
      </c>
    </row>
    <row r="80" spans="1:1">
      <c r="A80" s="15" t="s">
        <v>249</v>
      </c>
    </row>
    <row r="81" spans="1:1">
      <c r="A81" s="15" t="s">
        <v>236</v>
      </c>
    </row>
    <row r="82" spans="1:1">
      <c r="A82" s="15" t="s">
        <v>237</v>
      </c>
    </row>
    <row r="83" spans="1:1">
      <c r="A83" s="15" t="s">
        <v>453</v>
      </c>
    </row>
    <row r="86" spans="1:1">
      <c r="A86" s="15" t="s">
        <v>235</v>
      </c>
    </row>
    <row r="87" spans="1:1">
      <c r="A87" s="15" t="s">
        <v>250</v>
      </c>
    </row>
    <row r="88" spans="1:1">
      <c r="A88" s="15" t="s">
        <v>236</v>
      </c>
    </row>
    <row r="89" spans="1:1">
      <c r="A89" s="15" t="s">
        <v>237</v>
      </c>
    </row>
    <row r="90" spans="1:1">
      <c r="A90" s="15" t="s">
        <v>454</v>
      </c>
    </row>
    <row r="93" spans="1:1">
      <c r="A93" s="15" t="s">
        <v>235</v>
      </c>
    </row>
    <row r="94" spans="1:1">
      <c r="A94" s="15" t="s">
        <v>251</v>
      </c>
    </row>
    <row r="95" spans="1:1">
      <c r="A95" s="15" t="s">
        <v>236</v>
      </c>
    </row>
    <row r="96" spans="1:1">
      <c r="A96" s="15" t="s">
        <v>237</v>
      </c>
    </row>
    <row r="97" spans="1:1">
      <c r="A97" s="15" t="s">
        <v>455</v>
      </c>
    </row>
    <row r="100" spans="1:1">
      <c r="A100" s="15" t="s">
        <v>235</v>
      </c>
    </row>
    <row r="101" spans="1:1">
      <c r="A101" s="15" t="s">
        <v>252</v>
      </c>
    </row>
    <row r="102" spans="1:1">
      <c r="A102" s="15" t="s">
        <v>236</v>
      </c>
    </row>
    <row r="103" spans="1:1">
      <c r="A103" s="15" t="s">
        <v>237</v>
      </c>
    </row>
    <row r="104" spans="1:1">
      <c r="A104" s="15" t="s">
        <v>456</v>
      </c>
    </row>
    <row r="107" spans="1:1">
      <c r="A107" s="15" t="s">
        <v>235</v>
      </c>
    </row>
    <row r="108" spans="1:1">
      <c r="A108" s="15" t="s">
        <v>296</v>
      </c>
    </row>
    <row r="109" spans="1:1">
      <c r="A109" s="15" t="s">
        <v>236</v>
      </c>
    </row>
    <row r="110" spans="1:1">
      <c r="A110" s="15" t="s">
        <v>237</v>
      </c>
    </row>
    <row r="111" spans="1:1">
      <c r="A111" s="15" t="s">
        <v>457</v>
      </c>
    </row>
    <row r="114" spans="1:1">
      <c r="A114" s="15" t="s">
        <v>235</v>
      </c>
    </row>
    <row r="115" spans="1:1">
      <c r="A115" s="15" t="s">
        <v>297</v>
      </c>
    </row>
    <row r="116" spans="1:1">
      <c r="A116" s="15" t="s">
        <v>236</v>
      </c>
    </row>
    <row r="117" spans="1:1">
      <c r="A117" s="15" t="s">
        <v>237</v>
      </c>
    </row>
    <row r="118" spans="1:1">
      <c r="A118" s="15" t="s">
        <v>458</v>
      </c>
    </row>
    <row r="121" spans="1:1">
      <c r="A121" s="15" t="s">
        <v>235</v>
      </c>
    </row>
    <row r="122" spans="1:1">
      <c r="A122" s="15" t="s">
        <v>298</v>
      </c>
    </row>
    <row r="123" spans="1:1">
      <c r="A123" s="15" t="s">
        <v>236</v>
      </c>
    </row>
    <row r="124" spans="1:1">
      <c r="A124" s="15" t="s">
        <v>237</v>
      </c>
    </row>
    <row r="125" spans="1:1">
      <c r="A125" s="15" t="s">
        <v>459</v>
      </c>
    </row>
    <row r="128" spans="1:1">
      <c r="A128" s="15" t="s">
        <v>235</v>
      </c>
    </row>
    <row r="129" spans="1:1">
      <c r="A129" s="15" t="s">
        <v>299</v>
      </c>
    </row>
    <row r="130" spans="1:1">
      <c r="A130" s="15" t="s">
        <v>236</v>
      </c>
    </row>
    <row r="131" spans="1:1">
      <c r="A131" s="15" t="s">
        <v>237</v>
      </c>
    </row>
    <row r="132" spans="1:1">
      <c r="A132" s="15" t="s">
        <v>460</v>
      </c>
    </row>
    <row r="135" spans="1:1">
      <c r="A135" s="15" t="s">
        <v>235</v>
      </c>
    </row>
    <row r="136" spans="1:1">
      <c r="A136" s="15" t="s">
        <v>300</v>
      </c>
    </row>
    <row r="137" spans="1:1">
      <c r="A137" s="15" t="s">
        <v>236</v>
      </c>
    </row>
    <row r="138" spans="1:1">
      <c r="A138" s="15" t="s">
        <v>237</v>
      </c>
    </row>
    <row r="139" spans="1:1">
      <c r="A139" s="15" t="s">
        <v>461</v>
      </c>
    </row>
    <row r="142" spans="1:1">
      <c r="A142" s="15" t="s">
        <v>235</v>
      </c>
    </row>
    <row r="143" spans="1:1">
      <c r="A143" s="15" t="s">
        <v>301</v>
      </c>
    </row>
    <row r="144" spans="1:1">
      <c r="A144" s="15" t="s">
        <v>236</v>
      </c>
    </row>
    <row r="145" spans="1:1">
      <c r="A145" s="15" t="s">
        <v>237</v>
      </c>
    </row>
    <row r="146" spans="1:1">
      <c r="A146" s="15" t="s">
        <v>462</v>
      </c>
    </row>
    <row r="149" spans="1:1">
      <c r="A149" s="15" t="s">
        <v>235</v>
      </c>
    </row>
    <row r="150" spans="1:1">
      <c r="A150" s="15" t="s">
        <v>302</v>
      </c>
    </row>
    <row r="151" spans="1:1">
      <c r="A151" s="15" t="s">
        <v>236</v>
      </c>
    </row>
    <row r="152" spans="1:1">
      <c r="A152" s="15" t="s">
        <v>237</v>
      </c>
    </row>
    <row r="153" spans="1:1">
      <c r="A153" s="15" t="s">
        <v>463</v>
      </c>
    </row>
    <row r="156" spans="1:1">
      <c r="A156" s="15" t="s">
        <v>235</v>
      </c>
    </row>
    <row r="157" spans="1:1">
      <c r="A157" s="15" t="s">
        <v>303</v>
      </c>
    </row>
    <row r="158" spans="1:1">
      <c r="A158" s="15" t="s">
        <v>236</v>
      </c>
    </row>
    <row r="159" spans="1:1">
      <c r="A159" s="15" t="s">
        <v>237</v>
      </c>
    </row>
    <row r="160" spans="1:1">
      <c r="A160" s="15" t="s">
        <v>464</v>
      </c>
    </row>
    <row r="163" spans="1:1">
      <c r="A163" s="15" t="s">
        <v>235</v>
      </c>
    </row>
    <row r="164" spans="1:1">
      <c r="A164" s="15" t="s">
        <v>304</v>
      </c>
    </row>
    <row r="165" spans="1:1">
      <c r="A165" s="15" t="s">
        <v>236</v>
      </c>
    </row>
    <row r="166" spans="1:1">
      <c r="A166" s="15" t="s">
        <v>237</v>
      </c>
    </row>
    <row r="167" spans="1:1">
      <c r="A167" s="15" t="s">
        <v>465</v>
      </c>
    </row>
    <row r="170" spans="1:1">
      <c r="A170" s="15" t="s">
        <v>235</v>
      </c>
    </row>
    <row r="171" spans="1:1">
      <c r="A171" s="15" t="s">
        <v>305</v>
      </c>
    </row>
    <row r="172" spans="1:1">
      <c r="A172" s="15" t="s">
        <v>236</v>
      </c>
    </row>
    <row r="173" spans="1:1">
      <c r="A173" s="15" t="s">
        <v>237</v>
      </c>
    </row>
    <row r="174" spans="1:1">
      <c r="A174" s="15" t="s">
        <v>466</v>
      </c>
    </row>
    <row r="177" spans="1:1">
      <c r="A177" s="15" t="s">
        <v>235</v>
      </c>
    </row>
    <row r="178" spans="1:1">
      <c r="A178" s="15" t="s">
        <v>306</v>
      </c>
    </row>
    <row r="179" spans="1:1">
      <c r="A179" s="15" t="s">
        <v>236</v>
      </c>
    </row>
    <row r="180" spans="1:1">
      <c r="A180" s="15" t="s">
        <v>237</v>
      </c>
    </row>
    <row r="181" spans="1:1">
      <c r="A181" s="15" t="s">
        <v>467</v>
      </c>
    </row>
    <row r="184" spans="1:1">
      <c r="A184" s="15" t="s">
        <v>235</v>
      </c>
    </row>
    <row r="185" spans="1:1">
      <c r="A185" s="15" t="s">
        <v>307</v>
      </c>
    </row>
    <row r="186" spans="1:1">
      <c r="A186" s="15" t="s">
        <v>236</v>
      </c>
    </row>
    <row r="187" spans="1:1">
      <c r="A187" s="15" t="s">
        <v>237</v>
      </c>
    </row>
    <row r="188" spans="1:1">
      <c r="A188" s="15" t="s">
        <v>468</v>
      </c>
    </row>
    <row r="191" spans="1:1">
      <c r="A191" s="15" t="s">
        <v>235</v>
      </c>
    </row>
    <row r="192" spans="1:1">
      <c r="A192" s="15" t="s">
        <v>308</v>
      </c>
    </row>
    <row r="193" spans="1:1">
      <c r="A193" s="15" t="s">
        <v>236</v>
      </c>
    </row>
    <row r="194" spans="1:1">
      <c r="A194" s="15" t="s">
        <v>237</v>
      </c>
    </row>
    <row r="195" spans="1:1">
      <c r="A195" s="15" t="s">
        <v>469</v>
      </c>
    </row>
    <row r="198" spans="1:1">
      <c r="A198" s="15" t="s">
        <v>235</v>
      </c>
    </row>
    <row r="199" spans="1:1">
      <c r="A199" s="15" t="s">
        <v>309</v>
      </c>
    </row>
    <row r="200" spans="1:1">
      <c r="A200" s="15" t="s">
        <v>236</v>
      </c>
    </row>
    <row r="201" spans="1:1">
      <c r="A201" s="15" t="s">
        <v>237</v>
      </c>
    </row>
    <row r="202" spans="1:1">
      <c r="A202" s="15" t="s">
        <v>470</v>
      </c>
    </row>
    <row r="205" spans="1:1">
      <c r="A205" s="15" t="s">
        <v>235</v>
      </c>
    </row>
    <row r="206" spans="1:1">
      <c r="A206" s="15" t="s">
        <v>310</v>
      </c>
    </row>
    <row r="207" spans="1:1">
      <c r="A207" s="15" t="s">
        <v>236</v>
      </c>
    </row>
    <row r="208" spans="1:1">
      <c r="A208" s="15" t="s">
        <v>237</v>
      </c>
    </row>
    <row r="209" spans="1:1">
      <c r="A209" s="15" t="s">
        <v>471</v>
      </c>
    </row>
    <row r="212" spans="1:1">
      <c r="A212" s="15" t="s">
        <v>235</v>
      </c>
    </row>
    <row r="213" spans="1:1">
      <c r="A213" s="15" t="s">
        <v>311</v>
      </c>
    </row>
    <row r="214" spans="1:1">
      <c r="A214" s="15" t="s">
        <v>236</v>
      </c>
    </row>
    <row r="215" spans="1:1">
      <c r="A215" s="15" t="s">
        <v>237</v>
      </c>
    </row>
    <row r="216" spans="1:1">
      <c r="A216" s="15" t="s">
        <v>472</v>
      </c>
    </row>
    <row r="219" spans="1:1">
      <c r="A219" s="15" t="s">
        <v>235</v>
      </c>
    </row>
    <row r="220" spans="1:1">
      <c r="A220" s="15" t="s">
        <v>312</v>
      </c>
    </row>
    <row r="221" spans="1:1">
      <c r="A221" s="15" t="s">
        <v>236</v>
      </c>
    </row>
    <row r="222" spans="1:1">
      <c r="A222" s="15" t="s">
        <v>237</v>
      </c>
    </row>
    <row r="223" spans="1:1">
      <c r="A223" s="15" t="s">
        <v>473</v>
      </c>
    </row>
    <row r="226" spans="1:1">
      <c r="A226" s="15" t="s">
        <v>235</v>
      </c>
    </row>
    <row r="227" spans="1:1">
      <c r="A227" s="15" t="s">
        <v>313</v>
      </c>
    </row>
    <row r="228" spans="1:1">
      <c r="A228" s="15" t="s">
        <v>236</v>
      </c>
    </row>
    <row r="229" spans="1:1">
      <c r="A229" s="15" t="s">
        <v>237</v>
      </c>
    </row>
    <row r="230" spans="1:1">
      <c r="A230" s="15" t="s">
        <v>474</v>
      </c>
    </row>
    <row r="233" spans="1:1">
      <c r="A233" s="15" t="s">
        <v>235</v>
      </c>
    </row>
    <row r="234" spans="1:1">
      <c r="A234" s="15" t="s">
        <v>314</v>
      </c>
    </row>
    <row r="235" spans="1:1">
      <c r="A235" s="15" t="s">
        <v>236</v>
      </c>
    </row>
    <row r="236" spans="1:1">
      <c r="A236" s="15" t="s">
        <v>237</v>
      </c>
    </row>
    <row r="237" spans="1:1">
      <c r="A237" s="15" t="s">
        <v>475</v>
      </c>
    </row>
    <row r="240" spans="1:1">
      <c r="A240" s="15" t="s">
        <v>235</v>
      </c>
    </row>
    <row r="241" spans="1:1">
      <c r="A241" s="15" t="s">
        <v>315</v>
      </c>
    </row>
    <row r="242" spans="1:1">
      <c r="A242" s="15" t="s">
        <v>236</v>
      </c>
    </row>
    <row r="243" spans="1:1">
      <c r="A243" s="15" t="s">
        <v>237</v>
      </c>
    </row>
    <row r="244" spans="1:1">
      <c r="A244" s="15" t="s">
        <v>476</v>
      </c>
    </row>
    <row r="247" spans="1:1">
      <c r="A247" s="15" t="s">
        <v>235</v>
      </c>
    </row>
    <row r="248" spans="1:1">
      <c r="A248" s="15" t="s">
        <v>316</v>
      </c>
    </row>
    <row r="249" spans="1:1">
      <c r="A249" s="15" t="s">
        <v>236</v>
      </c>
    </row>
    <row r="250" spans="1:1">
      <c r="A250" s="15" t="s">
        <v>237</v>
      </c>
    </row>
    <row r="251" spans="1:1">
      <c r="A251" s="15" t="s">
        <v>477</v>
      </c>
    </row>
    <row r="254" spans="1:1">
      <c r="A254" s="15" t="s">
        <v>235</v>
      </c>
    </row>
    <row r="255" spans="1:1">
      <c r="A255" s="15" t="s">
        <v>317</v>
      </c>
    </row>
    <row r="256" spans="1:1">
      <c r="A256" s="15" t="s">
        <v>236</v>
      </c>
    </row>
    <row r="257" spans="1:1">
      <c r="A257" s="15" t="s">
        <v>237</v>
      </c>
    </row>
    <row r="258" spans="1:1">
      <c r="A258" s="15" t="s">
        <v>478</v>
      </c>
    </row>
    <row r="261" spans="1:1">
      <c r="A261" s="15" t="s">
        <v>235</v>
      </c>
    </row>
    <row r="262" spans="1:1">
      <c r="A262" s="15" t="s">
        <v>318</v>
      </c>
    </row>
    <row r="263" spans="1:1">
      <c r="A263" s="15" t="s">
        <v>236</v>
      </c>
    </row>
    <row r="264" spans="1:1">
      <c r="A264" s="15" t="s">
        <v>237</v>
      </c>
    </row>
    <row r="265" spans="1:1">
      <c r="A265" s="15" t="s">
        <v>479</v>
      </c>
    </row>
    <row r="268" spans="1:1">
      <c r="A268" s="15" t="s">
        <v>235</v>
      </c>
    </row>
    <row r="269" spans="1:1">
      <c r="A269" s="15" t="s">
        <v>319</v>
      </c>
    </row>
    <row r="270" spans="1:1">
      <c r="A270" s="15" t="s">
        <v>236</v>
      </c>
    </row>
    <row r="271" spans="1:1">
      <c r="A271" s="15" t="s">
        <v>237</v>
      </c>
    </row>
    <row r="272" spans="1:1">
      <c r="A272" s="15" t="s">
        <v>480</v>
      </c>
    </row>
    <row r="275" spans="1:1">
      <c r="A275" s="15" t="s">
        <v>235</v>
      </c>
    </row>
    <row r="276" spans="1:1">
      <c r="A276" s="15" t="s">
        <v>320</v>
      </c>
    </row>
    <row r="277" spans="1:1">
      <c r="A277" s="15" t="s">
        <v>236</v>
      </c>
    </row>
    <row r="278" spans="1:1">
      <c r="A278" s="15" t="s">
        <v>237</v>
      </c>
    </row>
    <row r="279" spans="1:1">
      <c r="A279" s="15" t="s">
        <v>481</v>
      </c>
    </row>
    <row r="282" spans="1:1">
      <c r="A282" s="15" t="s">
        <v>235</v>
      </c>
    </row>
    <row r="283" spans="1:1">
      <c r="A283" s="15" t="s">
        <v>321</v>
      </c>
    </row>
    <row r="284" spans="1:1">
      <c r="A284" s="15" t="s">
        <v>236</v>
      </c>
    </row>
    <row r="285" spans="1:1">
      <c r="A285" s="15" t="s">
        <v>237</v>
      </c>
    </row>
    <row r="286" spans="1:1">
      <c r="A286" s="15" t="s">
        <v>482</v>
      </c>
    </row>
    <row r="289" spans="1:1">
      <c r="A289" s="15" t="s">
        <v>235</v>
      </c>
    </row>
    <row r="290" spans="1:1">
      <c r="A290" s="15" t="s">
        <v>322</v>
      </c>
    </row>
    <row r="291" spans="1:1">
      <c r="A291" s="15" t="s">
        <v>236</v>
      </c>
    </row>
    <row r="292" spans="1:1">
      <c r="A292" s="15" t="s">
        <v>237</v>
      </c>
    </row>
    <row r="293" spans="1:1">
      <c r="A293" s="15" t="s">
        <v>483</v>
      </c>
    </row>
    <row r="296" spans="1:1">
      <c r="A296" s="15" t="s">
        <v>235</v>
      </c>
    </row>
    <row r="297" spans="1:1">
      <c r="A297" s="15" t="s">
        <v>323</v>
      </c>
    </row>
    <row r="298" spans="1:1">
      <c r="A298" s="15" t="s">
        <v>236</v>
      </c>
    </row>
    <row r="299" spans="1:1">
      <c r="A299" s="15" t="s">
        <v>237</v>
      </c>
    </row>
    <row r="300" spans="1:1">
      <c r="A300" s="15" t="s">
        <v>484</v>
      </c>
    </row>
    <row r="303" spans="1:1">
      <c r="A303" s="15" t="s">
        <v>235</v>
      </c>
    </row>
    <row r="304" spans="1:1">
      <c r="A304" s="15" t="s">
        <v>324</v>
      </c>
    </row>
    <row r="305" spans="1:1">
      <c r="A305" s="15" t="s">
        <v>236</v>
      </c>
    </row>
    <row r="306" spans="1:1">
      <c r="A306" s="15" t="s">
        <v>237</v>
      </c>
    </row>
    <row r="307" spans="1:1">
      <c r="A307" s="15" t="s">
        <v>485</v>
      </c>
    </row>
    <row r="310" spans="1:1">
      <c r="A310" s="15" t="s">
        <v>235</v>
      </c>
    </row>
    <row r="311" spans="1:1">
      <c r="A311" s="15" t="s">
        <v>325</v>
      </c>
    </row>
    <row r="312" spans="1:1">
      <c r="A312" s="15" t="s">
        <v>236</v>
      </c>
    </row>
    <row r="313" spans="1:1">
      <c r="A313" s="15" t="s">
        <v>237</v>
      </c>
    </row>
    <row r="314" spans="1:1">
      <c r="A314" s="15" t="s">
        <v>486</v>
      </c>
    </row>
    <row r="317" spans="1:1">
      <c r="A317" s="15" t="s">
        <v>235</v>
      </c>
    </row>
    <row r="318" spans="1:1">
      <c r="A318" s="15" t="s">
        <v>326</v>
      </c>
    </row>
    <row r="319" spans="1:1">
      <c r="A319" s="15" t="s">
        <v>236</v>
      </c>
    </row>
    <row r="320" spans="1:1">
      <c r="A320" s="15" t="s">
        <v>237</v>
      </c>
    </row>
    <row r="321" spans="1:1">
      <c r="A321" s="15" t="s">
        <v>487</v>
      </c>
    </row>
    <row r="324" spans="1:1">
      <c r="A324" s="15" t="s">
        <v>235</v>
      </c>
    </row>
    <row r="325" spans="1:1">
      <c r="A325" s="15" t="s">
        <v>327</v>
      </c>
    </row>
    <row r="326" spans="1:1">
      <c r="A326" s="15" t="s">
        <v>236</v>
      </c>
    </row>
    <row r="327" spans="1:1">
      <c r="A327" s="15" t="s">
        <v>237</v>
      </c>
    </row>
    <row r="328" spans="1:1">
      <c r="A328" s="15" t="s">
        <v>488</v>
      </c>
    </row>
    <row r="331" spans="1:1">
      <c r="A331" s="15" t="s">
        <v>235</v>
      </c>
    </row>
    <row r="332" spans="1:1">
      <c r="A332" s="15" t="s">
        <v>328</v>
      </c>
    </row>
    <row r="333" spans="1:1">
      <c r="A333" s="15" t="s">
        <v>236</v>
      </c>
    </row>
    <row r="334" spans="1:1">
      <c r="A334" s="15" t="s">
        <v>237</v>
      </c>
    </row>
    <row r="335" spans="1:1">
      <c r="A335" s="15" t="s">
        <v>489</v>
      </c>
    </row>
    <row r="338" spans="1:1">
      <c r="A338" s="15" t="s">
        <v>235</v>
      </c>
    </row>
    <row r="339" spans="1:1">
      <c r="A339" s="15" t="s">
        <v>329</v>
      </c>
    </row>
    <row r="340" spans="1:1">
      <c r="A340" s="15" t="s">
        <v>236</v>
      </c>
    </row>
    <row r="341" spans="1:1">
      <c r="A341" s="15" t="s">
        <v>237</v>
      </c>
    </row>
    <row r="342" spans="1:1">
      <c r="A342" s="15" t="s">
        <v>490</v>
      </c>
    </row>
    <row r="345" spans="1:1">
      <c r="A345" s="15" t="s">
        <v>235</v>
      </c>
    </row>
    <row r="346" spans="1:1">
      <c r="A346" s="15" t="s">
        <v>330</v>
      </c>
    </row>
    <row r="347" spans="1:1">
      <c r="A347" s="15" t="s">
        <v>236</v>
      </c>
    </row>
    <row r="348" spans="1:1">
      <c r="A348" s="15" t="s">
        <v>237</v>
      </c>
    </row>
    <row r="349" spans="1:1">
      <c r="A349" s="15" t="s">
        <v>491</v>
      </c>
    </row>
    <row r="352" spans="1:1">
      <c r="A352" s="15" t="s">
        <v>235</v>
      </c>
    </row>
    <row r="353" spans="1:1">
      <c r="A353" s="15" t="s">
        <v>331</v>
      </c>
    </row>
    <row r="354" spans="1:1">
      <c r="A354" s="15" t="s">
        <v>236</v>
      </c>
    </row>
    <row r="355" spans="1:1">
      <c r="A355" s="15" t="s">
        <v>237</v>
      </c>
    </row>
    <row r="356" spans="1:1">
      <c r="A356" s="15" t="s">
        <v>492</v>
      </c>
    </row>
    <row r="359" spans="1:1">
      <c r="A359" s="15" t="s">
        <v>235</v>
      </c>
    </row>
    <row r="360" spans="1:1">
      <c r="A360" s="15" t="s">
        <v>332</v>
      </c>
    </row>
    <row r="361" spans="1:1">
      <c r="A361" s="15" t="s">
        <v>236</v>
      </c>
    </row>
    <row r="362" spans="1:1">
      <c r="A362" s="15" t="s">
        <v>237</v>
      </c>
    </row>
    <row r="363" spans="1:1">
      <c r="A363" s="15" t="s">
        <v>493</v>
      </c>
    </row>
    <row r="366" spans="1:1">
      <c r="A366" s="15" t="s">
        <v>235</v>
      </c>
    </row>
    <row r="367" spans="1:1">
      <c r="A367" s="15" t="s">
        <v>333</v>
      </c>
    </row>
    <row r="368" spans="1:1">
      <c r="A368" s="15" t="s">
        <v>236</v>
      </c>
    </row>
    <row r="369" spans="1:1">
      <c r="A369" s="15" t="s">
        <v>237</v>
      </c>
    </row>
    <row r="370" spans="1:1">
      <c r="A370" s="15" t="s">
        <v>494</v>
      </c>
    </row>
    <row r="373" spans="1:1">
      <c r="A373" s="15" t="s">
        <v>235</v>
      </c>
    </row>
    <row r="374" spans="1:1">
      <c r="A374" s="15" t="s">
        <v>334</v>
      </c>
    </row>
    <row r="375" spans="1:1">
      <c r="A375" s="15" t="s">
        <v>236</v>
      </c>
    </row>
    <row r="376" spans="1:1">
      <c r="A376" s="15" t="s">
        <v>237</v>
      </c>
    </row>
    <row r="377" spans="1:1">
      <c r="A377" s="15" t="s">
        <v>495</v>
      </c>
    </row>
    <row r="380" spans="1:1">
      <c r="A380" s="15" t="s">
        <v>235</v>
      </c>
    </row>
    <row r="381" spans="1:1">
      <c r="A381" s="15" t="s">
        <v>335</v>
      </c>
    </row>
    <row r="382" spans="1:1">
      <c r="A382" s="15" t="s">
        <v>236</v>
      </c>
    </row>
    <row r="383" spans="1:1">
      <c r="A383" s="15" t="s">
        <v>237</v>
      </c>
    </row>
    <row r="384" spans="1:1">
      <c r="A384" s="15" t="s">
        <v>496</v>
      </c>
    </row>
    <row r="387" spans="1:1">
      <c r="A387" s="15" t="s">
        <v>235</v>
      </c>
    </row>
    <row r="388" spans="1:1">
      <c r="A388" s="15" t="s">
        <v>336</v>
      </c>
    </row>
    <row r="389" spans="1:1">
      <c r="A389" s="15" t="s">
        <v>236</v>
      </c>
    </row>
    <row r="390" spans="1:1">
      <c r="A390" s="15" t="s">
        <v>237</v>
      </c>
    </row>
    <row r="391" spans="1:1">
      <c r="A391" s="15" t="s">
        <v>497</v>
      </c>
    </row>
    <row r="394" spans="1:1">
      <c r="A394" s="15" t="s">
        <v>235</v>
      </c>
    </row>
    <row r="395" spans="1:1">
      <c r="A395" s="15" t="s">
        <v>337</v>
      </c>
    </row>
    <row r="396" spans="1:1">
      <c r="A396" s="15" t="s">
        <v>236</v>
      </c>
    </row>
    <row r="397" spans="1:1">
      <c r="A397" s="15" t="s">
        <v>237</v>
      </c>
    </row>
    <row r="398" spans="1:1">
      <c r="A398" s="15" t="s">
        <v>498</v>
      </c>
    </row>
    <row r="401" spans="1:1">
      <c r="A401" s="15" t="s">
        <v>235</v>
      </c>
    </row>
    <row r="402" spans="1:1">
      <c r="A402" s="15" t="s">
        <v>339</v>
      </c>
    </row>
    <row r="403" spans="1:1">
      <c r="A403" s="15" t="s">
        <v>236</v>
      </c>
    </row>
    <row r="404" spans="1:1">
      <c r="A404" s="15" t="s">
        <v>237</v>
      </c>
    </row>
    <row r="405" spans="1:1">
      <c r="A405" s="15" t="s">
        <v>499</v>
      </c>
    </row>
    <row r="408" spans="1:1">
      <c r="A408" s="15" t="s">
        <v>235</v>
      </c>
    </row>
    <row r="409" spans="1:1">
      <c r="A409" s="15" t="s">
        <v>340</v>
      </c>
    </row>
    <row r="410" spans="1:1">
      <c r="A410" s="15" t="s">
        <v>236</v>
      </c>
    </row>
    <row r="411" spans="1:1">
      <c r="A411" s="15" t="s">
        <v>237</v>
      </c>
    </row>
    <row r="412" spans="1:1">
      <c r="A412" s="15" t="s">
        <v>500</v>
      </c>
    </row>
    <row r="415" spans="1:1">
      <c r="A415" s="15" t="s">
        <v>235</v>
      </c>
    </row>
    <row r="416" spans="1:1">
      <c r="A416" s="15" t="s">
        <v>341</v>
      </c>
    </row>
    <row r="417" spans="1:1">
      <c r="A417" s="15" t="s">
        <v>236</v>
      </c>
    </row>
    <row r="418" spans="1:1">
      <c r="A418" s="15" t="s">
        <v>237</v>
      </c>
    </row>
    <row r="419" spans="1:1">
      <c r="A419" s="15" t="s">
        <v>501</v>
      </c>
    </row>
    <row r="422" spans="1:1">
      <c r="A422" s="15" t="s">
        <v>235</v>
      </c>
    </row>
    <row r="423" spans="1:1">
      <c r="A423" s="15" t="s">
        <v>342</v>
      </c>
    </row>
    <row r="424" spans="1:1">
      <c r="A424" s="15" t="s">
        <v>236</v>
      </c>
    </row>
    <row r="425" spans="1:1">
      <c r="A425" s="15" t="s">
        <v>237</v>
      </c>
    </row>
    <row r="426" spans="1:1">
      <c r="A426" s="15" t="s">
        <v>502</v>
      </c>
    </row>
    <row r="429" spans="1:1">
      <c r="A429" s="15" t="s">
        <v>238</v>
      </c>
    </row>
    <row r="432" spans="1:1">
      <c r="A432" s="15" t="s">
        <v>220</v>
      </c>
    </row>
    <row r="435" spans="1:1">
      <c r="A435" s="15" t="s">
        <v>221</v>
      </c>
    </row>
    <row r="438" spans="1:1">
      <c r="A438" s="15" t="s">
        <v>222</v>
      </c>
    </row>
    <row r="441" spans="1:1">
      <c r="A441" s="15" t="s">
        <v>223</v>
      </c>
    </row>
    <row r="442" spans="1:1">
      <c r="A442" s="15" t="s">
        <v>224</v>
      </c>
    </row>
    <row r="443" spans="1:1">
      <c r="A443" s="15" t="s">
        <v>225</v>
      </c>
    </row>
    <row r="444" spans="1:1">
      <c r="A444" s="15" t="s">
        <v>226</v>
      </c>
    </row>
    <row r="445" spans="1:1">
      <c r="A445" s="15" t="s">
        <v>225</v>
      </c>
    </row>
    <row r="446" spans="1:1">
      <c r="A446" s="15" t="s">
        <v>227</v>
      </c>
    </row>
    <row r="447" spans="1:1">
      <c r="A447" s="15" t="s">
        <v>225</v>
      </c>
    </row>
    <row r="448" spans="1:1">
      <c r="A448" s="15" t="s">
        <v>239</v>
      </c>
    </row>
    <row r="449" spans="1:1">
      <c r="A449" s="15" t="s">
        <v>225</v>
      </c>
    </row>
    <row r="450" spans="1:1">
      <c r="A450" s="15" t="s">
        <v>229</v>
      </c>
    </row>
    <row r="451" spans="1:1">
      <c r="A451" s="15" t="s">
        <v>225</v>
      </c>
    </row>
    <row r="452" spans="1:1">
      <c r="A452" s="15" t="s">
        <v>230</v>
      </c>
    </row>
    <row r="455" spans="1:1">
      <c r="A455" s="15" t="s">
        <v>231</v>
      </c>
    </row>
    <row r="458" spans="1:1">
      <c r="A458" s="15" t="s">
        <v>232</v>
      </c>
    </row>
    <row r="459" spans="1:1">
      <c r="A459" s="15" t="s">
        <v>233</v>
      </c>
    </row>
    <row r="462" spans="1:1">
      <c r="A462" s="15" t="s">
        <v>234</v>
      </c>
    </row>
    <row r="465" spans="1:1">
      <c r="A465" s="15" t="s">
        <v>240</v>
      </c>
    </row>
    <row r="468" spans="1:1">
      <c r="A468" s="15" t="s">
        <v>220</v>
      </c>
    </row>
    <row r="471" spans="1:1">
      <c r="A471" s="15" t="s">
        <v>221</v>
      </c>
    </row>
    <row r="474" spans="1:1">
      <c r="A474" s="15" t="s">
        <v>222</v>
      </c>
    </row>
    <row r="477" spans="1:1">
      <c r="A477" s="15" t="s">
        <v>223</v>
      </c>
    </row>
    <row r="478" spans="1:1">
      <c r="A478" s="15" t="s">
        <v>224</v>
      </c>
    </row>
    <row r="479" spans="1:1">
      <c r="A479" s="15" t="s">
        <v>225</v>
      </c>
    </row>
    <row r="480" spans="1:1">
      <c r="A480" s="15" t="s">
        <v>226</v>
      </c>
    </row>
    <row r="481" spans="1:1">
      <c r="A481" s="15" t="s">
        <v>225</v>
      </c>
    </row>
    <row r="482" spans="1:1">
      <c r="A482" s="15" t="s">
        <v>227</v>
      </c>
    </row>
    <row r="483" spans="1:1">
      <c r="A483" s="15" t="s">
        <v>225</v>
      </c>
    </row>
    <row r="484" spans="1:1">
      <c r="A484" s="15" t="s">
        <v>241</v>
      </c>
    </row>
    <row r="485" spans="1:1">
      <c r="A485" s="15" t="s">
        <v>225</v>
      </c>
    </row>
    <row r="486" spans="1:1">
      <c r="A486" s="15" t="s">
        <v>229</v>
      </c>
    </row>
    <row r="487" spans="1:1">
      <c r="A487" s="15" t="s">
        <v>225</v>
      </c>
    </row>
    <row r="488" spans="1:1">
      <c r="A488" s="15" t="s">
        <v>230</v>
      </c>
    </row>
    <row r="491" spans="1:1">
      <c r="A491" s="15" t="s">
        <v>231</v>
      </c>
    </row>
    <row r="494" spans="1:1">
      <c r="A494" s="15" t="s">
        <v>232</v>
      </c>
    </row>
    <row r="495" spans="1:1">
      <c r="A495" s="15" t="s">
        <v>233</v>
      </c>
    </row>
    <row r="498" spans="1:1">
      <c r="A498" s="15" t="s">
        <v>234</v>
      </c>
    </row>
    <row r="501" spans="1:1">
      <c r="A501" s="15" t="s">
        <v>213</v>
      </c>
    </row>
    <row r="504" spans="1:1">
      <c r="A504" s="15" t="s">
        <v>214</v>
      </c>
    </row>
    <row r="505" spans="1:1">
      <c r="A505" s="15" t="s">
        <v>215</v>
      </c>
    </row>
    <row r="506" spans="1:1">
      <c r="A506" s="15" t="s">
        <v>503</v>
      </c>
    </row>
    <row r="507" spans="1:1">
      <c r="A507" s="15" t="s">
        <v>216</v>
      </c>
    </row>
    <row r="508" spans="1:1">
      <c r="A508" s="15" t="s">
        <v>242</v>
      </c>
    </row>
    <row r="509" spans="1:1">
      <c r="A509" s="15" t="s">
        <v>217</v>
      </c>
    </row>
    <row r="510" spans="1:1">
      <c r="A510" s="15" t="s">
        <v>504</v>
      </c>
    </row>
    <row r="511" spans="1:1">
      <c r="A511" s="15" t="s">
        <v>218</v>
      </c>
    </row>
    <row r="514" spans="1:1">
      <c r="A514" s="15" t="s">
        <v>213</v>
      </c>
    </row>
    <row r="517" spans="1:1">
      <c r="A517" s="15" t="s">
        <v>214</v>
      </c>
    </row>
    <row r="518" spans="1:1">
      <c r="A518" s="15" t="s">
        <v>215</v>
      </c>
    </row>
    <row r="519" spans="1:1">
      <c r="A519" s="15" t="s">
        <v>446</v>
      </c>
    </row>
    <row r="520" spans="1:1">
      <c r="A520" s="15" t="s">
        <v>216</v>
      </c>
    </row>
    <row r="521" spans="1:1">
      <c r="A521" s="15" t="s">
        <v>242</v>
      </c>
    </row>
    <row r="522" spans="1:1">
      <c r="A522" s="15" t="s">
        <v>217</v>
      </c>
    </row>
    <row r="523" spans="1:1">
      <c r="A523" s="15" t="s">
        <v>505</v>
      </c>
    </row>
    <row r="524" spans="1:1">
      <c r="A524" s="15" t="s">
        <v>218</v>
      </c>
    </row>
    <row r="527" spans="1:1">
      <c r="A527" s="15" t="s">
        <v>213</v>
      </c>
    </row>
    <row r="530" spans="1:1">
      <c r="A530" s="15" t="s">
        <v>214</v>
      </c>
    </row>
    <row r="531" spans="1:1">
      <c r="A531" s="15" t="s">
        <v>215</v>
      </c>
    </row>
    <row r="532" spans="1:1">
      <c r="A532" s="15" t="s">
        <v>445</v>
      </c>
    </row>
    <row r="533" spans="1:1">
      <c r="A533" s="15" t="s">
        <v>216</v>
      </c>
    </row>
    <row r="534" spans="1:1">
      <c r="A534" s="15" t="s">
        <v>242</v>
      </c>
    </row>
    <row r="535" spans="1:1">
      <c r="A535" s="15" t="s">
        <v>217</v>
      </c>
    </row>
    <row r="536" spans="1:1">
      <c r="A536" s="15" t="s">
        <v>506</v>
      </c>
    </row>
    <row r="537" spans="1:1">
      <c r="A537" s="15" t="s">
        <v>218</v>
      </c>
    </row>
    <row r="540" spans="1:1">
      <c r="A540" s="15" t="s">
        <v>213</v>
      </c>
    </row>
    <row r="543" spans="1:1">
      <c r="A543" s="15" t="s">
        <v>214</v>
      </c>
    </row>
    <row r="544" spans="1:1">
      <c r="A544" s="15" t="s">
        <v>215</v>
      </c>
    </row>
    <row r="545" spans="1:1">
      <c r="A545" s="15" t="s">
        <v>444</v>
      </c>
    </row>
    <row r="546" spans="1:1">
      <c r="A546" s="15" t="s">
        <v>216</v>
      </c>
    </row>
    <row r="547" spans="1:1">
      <c r="A547" s="15" t="s">
        <v>242</v>
      </c>
    </row>
    <row r="548" spans="1:1">
      <c r="A548" s="15" t="s">
        <v>217</v>
      </c>
    </row>
    <row r="549" spans="1:1">
      <c r="A549" s="15" t="s">
        <v>507</v>
      </c>
    </row>
    <row r="550" spans="1:1">
      <c r="A550" s="15" t="s">
        <v>218</v>
      </c>
    </row>
    <row r="553" spans="1:1">
      <c r="A553" s="15" t="s">
        <v>213</v>
      </c>
    </row>
    <row r="556" spans="1:1">
      <c r="A556" s="15" t="s">
        <v>214</v>
      </c>
    </row>
    <row r="557" spans="1:1">
      <c r="A557" s="15" t="s">
        <v>215</v>
      </c>
    </row>
    <row r="558" spans="1:1">
      <c r="A558" s="15" t="s">
        <v>352</v>
      </c>
    </row>
    <row r="559" spans="1:1">
      <c r="A559" s="15" t="s">
        <v>216</v>
      </c>
    </row>
    <row r="560" spans="1:1">
      <c r="A560" s="15" t="s">
        <v>242</v>
      </c>
    </row>
    <row r="561" spans="1:1">
      <c r="A561" s="15" t="s">
        <v>217</v>
      </c>
    </row>
    <row r="562" spans="1:1">
      <c r="A562" s="15" t="s">
        <v>508</v>
      </c>
    </row>
    <row r="563" spans="1:1">
      <c r="A563" s="15" t="s">
        <v>218</v>
      </c>
    </row>
    <row r="566" spans="1:1">
      <c r="A566" s="15" t="s">
        <v>213</v>
      </c>
    </row>
    <row r="569" spans="1:1">
      <c r="A569" s="15" t="s">
        <v>214</v>
      </c>
    </row>
    <row r="570" spans="1:1">
      <c r="A570" s="15" t="s">
        <v>215</v>
      </c>
    </row>
    <row r="571" spans="1:1">
      <c r="A571" s="15" t="s">
        <v>353</v>
      </c>
    </row>
    <row r="572" spans="1:1">
      <c r="A572" s="15" t="s">
        <v>216</v>
      </c>
    </row>
    <row r="573" spans="1:1">
      <c r="A573" s="15" t="s">
        <v>242</v>
      </c>
    </row>
    <row r="574" spans="1:1">
      <c r="A574" s="15" t="s">
        <v>217</v>
      </c>
    </row>
    <row r="575" spans="1:1">
      <c r="A575" s="15" t="s">
        <v>509</v>
      </c>
    </row>
    <row r="576" spans="1:1">
      <c r="A576" s="15" t="s">
        <v>218</v>
      </c>
    </row>
    <row r="579" spans="1:1">
      <c r="A579" s="15" t="s">
        <v>213</v>
      </c>
    </row>
    <row r="582" spans="1:1">
      <c r="A582" s="15" t="s">
        <v>214</v>
      </c>
    </row>
    <row r="583" spans="1:1">
      <c r="A583" s="15" t="s">
        <v>215</v>
      </c>
    </row>
    <row r="584" spans="1:1">
      <c r="A584" s="15" t="s">
        <v>354</v>
      </c>
    </row>
    <row r="585" spans="1:1">
      <c r="A585" s="15" t="s">
        <v>216</v>
      </c>
    </row>
    <row r="586" spans="1:1">
      <c r="A586" s="15" t="s">
        <v>242</v>
      </c>
    </row>
    <row r="587" spans="1:1">
      <c r="A587" s="15" t="s">
        <v>217</v>
      </c>
    </row>
    <row r="588" spans="1:1">
      <c r="A588" s="15" t="s">
        <v>510</v>
      </c>
    </row>
    <row r="589" spans="1:1">
      <c r="A589" s="15" t="s">
        <v>218</v>
      </c>
    </row>
    <row r="592" spans="1:1">
      <c r="A592" s="15" t="s">
        <v>213</v>
      </c>
    </row>
    <row r="595" spans="1:1">
      <c r="A595" s="15" t="s">
        <v>214</v>
      </c>
    </row>
    <row r="596" spans="1:1">
      <c r="A596" s="15" t="s">
        <v>215</v>
      </c>
    </row>
    <row r="597" spans="1:1">
      <c r="A597" s="15" t="s">
        <v>355</v>
      </c>
    </row>
    <row r="598" spans="1:1">
      <c r="A598" s="15" t="s">
        <v>216</v>
      </c>
    </row>
    <row r="599" spans="1:1">
      <c r="A599" s="15" t="s">
        <v>242</v>
      </c>
    </row>
    <row r="600" spans="1:1">
      <c r="A600" s="15" t="s">
        <v>217</v>
      </c>
    </row>
    <row r="601" spans="1:1">
      <c r="A601" s="15" t="s">
        <v>511</v>
      </c>
    </row>
    <row r="602" spans="1:1">
      <c r="A602" s="15" t="s">
        <v>218</v>
      </c>
    </row>
    <row r="605" spans="1:1">
      <c r="A605" s="15" t="s">
        <v>213</v>
      </c>
    </row>
    <row r="608" spans="1:1">
      <c r="A608" s="15" t="s">
        <v>214</v>
      </c>
    </row>
    <row r="609" spans="1:1">
      <c r="A609" s="15" t="s">
        <v>215</v>
      </c>
    </row>
    <row r="610" spans="1:1">
      <c r="A610" s="15" t="s">
        <v>356</v>
      </c>
    </row>
    <row r="611" spans="1:1">
      <c r="A611" s="15" t="s">
        <v>216</v>
      </c>
    </row>
    <row r="612" spans="1:1">
      <c r="A612" s="15" t="s">
        <v>242</v>
      </c>
    </row>
    <row r="613" spans="1:1">
      <c r="A613" s="15" t="s">
        <v>217</v>
      </c>
    </row>
    <row r="614" spans="1:1">
      <c r="A614" s="15" t="s">
        <v>512</v>
      </c>
    </row>
    <row r="615" spans="1:1">
      <c r="A615" s="15" t="s">
        <v>218</v>
      </c>
    </row>
    <row r="618" spans="1:1">
      <c r="A618" s="15" t="s">
        <v>213</v>
      </c>
    </row>
    <row r="621" spans="1:1">
      <c r="A621" s="15" t="s">
        <v>214</v>
      </c>
    </row>
    <row r="622" spans="1:1">
      <c r="A622" s="15" t="s">
        <v>215</v>
      </c>
    </row>
    <row r="623" spans="1:1">
      <c r="A623" s="15" t="s">
        <v>357</v>
      </c>
    </row>
    <row r="624" spans="1:1">
      <c r="A624" s="15" t="s">
        <v>216</v>
      </c>
    </row>
    <row r="625" spans="1:1">
      <c r="A625" s="15" t="s">
        <v>242</v>
      </c>
    </row>
    <row r="626" spans="1:1">
      <c r="A626" s="15" t="s">
        <v>217</v>
      </c>
    </row>
    <row r="627" spans="1:1">
      <c r="A627" s="15" t="s">
        <v>513</v>
      </c>
    </row>
    <row r="628" spans="1:1">
      <c r="A628" s="15" t="s">
        <v>218</v>
      </c>
    </row>
    <row r="631" spans="1:1">
      <c r="A631" s="15" t="s">
        <v>213</v>
      </c>
    </row>
    <row r="634" spans="1:1">
      <c r="A634" s="15" t="s">
        <v>214</v>
      </c>
    </row>
    <row r="635" spans="1:1">
      <c r="A635" s="15" t="s">
        <v>215</v>
      </c>
    </row>
    <row r="636" spans="1:1">
      <c r="A636" s="15" t="s">
        <v>358</v>
      </c>
    </row>
    <row r="637" spans="1:1">
      <c r="A637" s="15" t="s">
        <v>216</v>
      </c>
    </row>
    <row r="638" spans="1:1">
      <c r="A638" s="15" t="s">
        <v>242</v>
      </c>
    </row>
    <row r="639" spans="1:1">
      <c r="A639" s="15" t="s">
        <v>217</v>
      </c>
    </row>
    <row r="640" spans="1:1">
      <c r="A640" s="15" t="s">
        <v>514</v>
      </c>
    </row>
    <row r="641" spans="1:1">
      <c r="A641" s="15" t="s">
        <v>218</v>
      </c>
    </row>
    <row r="644" spans="1:1">
      <c r="A644" s="15" t="s">
        <v>213</v>
      </c>
    </row>
    <row r="647" spans="1:1">
      <c r="A647" s="15" t="s">
        <v>214</v>
      </c>
    </row>
    <row r="648" spans="1:1">
      <c r="A648" s="15" t="s">
        <v>215</v>
      </c>
    </row>
    <row r="649" spans="1:1">
      <c r="A649" s="15" t="s">
        <v>359</v>
      </c>
    </row>
    <row r="650" spans="1:1">
      <c r="A650" s="15" t="s">
        <v>216</v>
      </c>
    </row>
    <row r="651" spans="1:1">
      <c r="A651" s="15" t="s">
        <v>242</v>
      </c>
    </row>
    <row r="652" spans="1:1">
      <c r="A652" s="15" t="s">
        <v>217</v>
      </c>
    </row>
    <row r="653" spans="1:1">
      <c r="A653" s="15" t="s">
        <v>515</v>
      </c>
    </row>
    <row r="654" spans="1:1">
      <c r="A654" s="15" t="s">
        <v>218</v>
      </c>
    </row>
    <row r="657" spans="1:1">
      <c r="A657" s="15" t="s">
        <v>213</v>
      </c>
    </row>
    <row r="660" spans="1:1">
      <c r="A660" s="15" t="s">
        <v>214</v>
      </c>
    </row>
    <row r="661" spans="1:1">
      <c r="A661" s="15" t="s">
        <v>215</v>
      </c>
    </row>
    <row r="662" spans="1:1">
      <c r="A662" s="15" t="s">
        <v>437</v>
      </c>
    </row>
    <row r="663" spans="1:1">
      <c r="A663" s="15" t="s">
        <v>216</v>
      </c>
    </row>
    <row r="664" spans="1:1">
      <c r="A664" s="15" t="s">
        <v>242</v>
      </c>
    </row>
    <row r="665" spans="1:1">
      <c r="A665" s="15" t="s">
        <v>217</v>
      </c>
    </row>
    <row r="666" spans="1:1">
      <c r="A666" s="15" t="s">
        <v>516</v>
      </c>
    </row>
    <row r="667" spans="1:1">
      <c r="A667" s="15" t="s">
        <v>218</v>
      </c>
    </row>
    <row r="670" spans="1:1">
      <c r="A670" s="15" t="s">
        <v>213</v>
      </c>
    </row>
    <row r="673" spans="1:1">
      <c r="A673" s="15" t="s">
        <v>214</v>
      </c>
    </row>
    <row r="674" spans="1:1">
      <c r="A674" s="15" t="s">
        <v>215</v>
      </c>
    </row>
    <row r="675" spans="1:1">
      <c r="A675" s="15" t="s">
        <v>360</v>
      </c>
    </row>
    <row r="676" spans="1:1">
      <c r="A676" s="15" t="s">
        <v>216</v>
      </c>
    </row>
    <row r="677" spans="1:1">
      <c r="A677" s="15" t="s">
        <v>242</v>
      </c>
    </row>
    <row r="678" spans="1:1">
      <c r="A678" s="15" t="s">
        <v>217</v>
      </c>
    </row>
    <row r="679" spans="1:1">
      <c r="A679" s="15" t="s">
        <v>517</v>
      </c>
    </row>
    <row r="680" spans="1:1">
      <c r="A680" s="15" t="s">
        <v>218</v>
      </c>
    </row>
    <row r="683" spans="1:1">
      <c r="A683" s="15" t="s">
        <v>213</v>
      </c>
    </row>
    <row r="686" spans="1:1">
      <c r="A686" s="15" t="s">
        <v>214</v>
      </c>
    </row>
    <row r="687" spans="1:1">
      <c r="A687" s="15" t="s">
        <v>215</v>
      </c>
    </row>
    <row r="688" spans="1:1">
      <c r="A688" s="15" t="s">
        <v>361</v>
      </c>
    </row>
    <row r="689" spans="1:1">
      <c r="A689" s="15" t="s">
        <v>216</v>
      </c>
    </row>
    <row r="690" spans="1:1">
      <c r="A690" s="15" t="s">
        <v>242</v>
      </c>
    </row>
    <row r="691" spans="1:1">
      <c r="A691" s="15" t="s">
        <v>217</v>
      </c>
    </row>
    <row r="692" spans="1:1">
      <c r="A692" s="15" t="s">
        <v>518</v>
      </c>
    </row>
    <row r="693" spans="1:1">
      <c r="A693" s="15" t="s">
        <v>218</v>
      </c>
    </row>
    <row r="696" spans="1:1">
      <c r="A696" s="15" t="s">
        <v>213</v>
      </c>
    </row>
    <row r="699" spans="1:1">
      <c r="A699" s="15" t="s">
        <v>214</v>
      </c>
    </row>
    <row r="700" spans="1:1">
      <c r="A700" s="15" t="s">
        <v>215</v>
      </c>
    </row>
    <row r="701" spans="1:1">
      <c r="A701" s="15" t="s">
        <v>362</v>
      </c>
    </row>
    <row r="702" spans="1:1">
      <c r="A702" s="15" t="s">
        <v>216</v>
      </c>
    </row>
    <row r="703" spans="1:1">
      <c r="A703" s="15" t="s">
        <v>242</v>
      </c>
    </row>
    <row r="704" spans="1:1">
      <c r="A704" s="15" t="s">
        <v>217</v>
      </c>
    </row>
    <row r="705" spans="1:1">
      <c r="A705" s="15" t="s">
        <v>519</v>
      </c>
    </row>
    <row r="706" spans="1:1">
      <c r="A706" s="15" t="s">
        <v>218</v>
      </c>
    </row>
    <row r="709" spans="1:1">
      <c r="A709" s="15" t="s">
        <v>213</v>
      </c>
    </row>
    <row r="712" spans="1:1">
      <c r="A712" s="15" t="s">
        <v>214</v>
      </c>
    </row>
    <row r="713" spans="1:1">
      <c r="A713" s="15" t="s">
        <v>215</v>
      </c>
    </row>
    <row r="714" spans="1:1">
      <c r="A714" s="15" t="s">
        <v>363</v>
      </c>
    </row>
    <row r="715" spans="1:1">
      <c r="A715" s="15" t="s">
        <v>216</v>
      </c>
    </row>
    <row r="716" spans="1:1">
      <c r="A716" s="15" t="s">
        <v>242</v>
      </c>
    </row>
    <row r="717" spans="1:1">
      <c r="A717" s="15" t="s">
        <v>217</v>
      </c>
    </row>
    <row r="718" spans="1:1">
      <c r="A718" s="15" t="s">
        <v>520</v>
      </c>
    </row>
    <row r="719" spans="1:1">
      <c r="A719" s="15" t="s">
        <v>218</v>
      </c>
    </row>
    <row r="722" spans="1:1">
      <c r="A722" s="15" t="s">
        <v>213</v>
      </c>
    </row>
    <row r="725" spans="1:1">
      <c r="A725" s="15" t="s">
        <v>214</v>
      </c>
    </row>
    <row r="726" spans="1:1">
      <c r="A726" s="15" t="s">
        <v>215</v>
      </c>
    </row>
    <row r="727" spans="1:1">
      <c r="A727" s="15" t="s">
        <v>364</v>
      </c>
    </row>
    <row r="728" spans="1:1">
      <c r="A728" s="15" t="s">
        <v>216</v>
      </c>
    </row>
    <row r="729" spans="1:1">
      <c r="A729" s="15" t="s">
        <v>242</v>
      </c>
    </row>
    <row r="730" spans="1:1">
      <c r="A730" s="15" t="s">
        <v>217</v>
      </c>
    </row>
    <row r="731" spans="1:1">
      <c r="A731" s="15" t="s">
        <v>521</v>
      </c>
    </row>
    <row r="732" spans="1:1">
      <c r="A732" s="15" t="s">
        <v>218</v>
      </c>
    </row>
    <row r="735" spans="1:1">
      <c r="A735" s="15" t="s">
        <v>213</v>
      </c>
    </row>
    <row r="738" spans="1:1">
      <c r="A738" s="15" t="s">
        <v>214</v>
      </c>
    </row>
    <row r="739" spans="1:1">
      <c r="A739" s="15" t="s">
        <v>215</v>
      </c>
    </row>
    <row r="740" spans="1:1">
      <c r="A740" s="15" t="s">
        <v>365</v>
      </c>
    </row>
    <row r="741" spans="1:1">
      <c r="A741" s="15" t="s">
        <v>216</v>
      </c>
    </row>
    <row r="742" spans="1:1">
      <c r="A742" s="15" t="s">
        <v>242</v>
      </c>
    </row>
    <row r="743" spans="1:1">
      <c r="A743" s="15" t="s">
        <v>217</v>
      </c>
    </row>
    <row r="744" spans="1:1">
      <c r="A744" s="15" t="s">
        <v>522</v>
      </c>
    </row>
    <row r="745" spans="1:1">
      <c r="A745" s="15" t="s">
        <v>218</v>
      </c>
    </row>
    <row r="748" spans="1:1">
      <c r="A748" s="15" t="s">
        <v>213</v>
      </c>
    </row>
    <row r="751" spans="1:1">
      <c r="A751" s="15" t="s">
        <v>214</v>
      </c>
    </row>
    <row r="752" spans="1:1">
      <c r="A752" s="15" t="s">
        <v>215</v>
      </c>
    </row>
    <row r="753" spans="1:1">
      <c r="A753" s="15" t="s">
        <v>366</v>
      </c>
    </row>
    <row r="754" spans="1:1">
      <c r="A754" s="15" t="s">
        <v>216</v>
      </c>
    </row>
    <row r="755" spans="1:1">
      <c r="A755" s="15" t="s">
        <v>242</v>
      </c>
    </row>
    <row r="756" spans="1:1">
      <c r="A756" s="15" t="s">
        <v>217</v>
      </c>
    </row>
    <row r="757" spans="1:1">
      <c r="A757" s="15" t="s">
        <v>523</v>
      </c>
    </row>
    <row r="758" spans="1:1">
      <c r="A758" s="15" t="s">
        <v>218</v>
      </c>
    </row>
    <row r="761" spans="1:1">
      <c r="A761" s="15" t="s">
        <v>213</v>
      </c>
    </row>
    <row r="764" spans="1:1">
      <c r="A764" s="15" t="s">
        <v>214</v>
      </c>
    </row>
    <row r="765" spans="1:1">
      <c r="A765" s="15" t="s">
        <v>215</v>
      </c>
    </row>
    <row r="766" spans="1:1">
      <c r="A766" s="15" t="s">
        <v>367</v>
      </c>
    </row>
    <row r="767" spans="1:1">
      <c r="A767" s="15" t="s">
        <v>216</v>
      </c>
    </row>
    <row r="768" spans="1:1">
      <c r="A768" s="15" t="s">
        <v>242</v>
      </c>
    </row>
    <row r="769" spans="1:1">
      <c r="A769" s="15" t="s">
        <v>217</v>
      </c>
    </row>
    <row r="770" spans="1:1">
      <c r="A770" s="15" t="s">
        <v>524</v>
      </c>
    </row>
    <row r="771" spans="1:1">
      <c r="A771" s="15" t="s">
        <v>218</v>
      </c>
    </row>
    <row r="774" spans="1:1">
      <c r="A774" s="15" t="s">
        <v>213</v>
      </c>
    </row>
    <row r="777" spans="1:1">
      <c r="A777" s="15" t="s">
        <v>214</v>
      </c>
    </row>
    <row r="778" spans="1:1">
      <c r="A778" s="15" t="s">
        <v>215</v>
      </c>
    </row>
    <row r="779" spans="1:1">
      <c r="A779" s="15" t="s">
        <v>368</v>
      </c>
    </row>
    <row r="780" spans="1:1">
      <c r="A780" s="15" t="s">
        <v>216</v>
      </c>
    </row>
    <row r="781" spans="1:1">
      <c r="A781" s="15" t="s">
        <v>242</v>
      </c>
    </row>
    <row r="782" spans="1:1">
      <c r="A782" s="15" t="s">
        <v>217</v>
      </c>
    </row>
    <row r="783" spans="1:1">
      <c r="A783" s="15" t="s">
        <v>525</v>
      </c>
    </row>
    <row r="784" spans="1:1">
      <c r="A784" s="15" t="s">
        <v>218</v>
      </c>
    </row>
    <row r="787" spans="1:1">
      <c r="A787" s="15" t="s">
        <v>213</v>
      </c>
    </row>
    <row r="790" spans="1:1">
      <c r="A790" s="15" t="s">
        <v>214</v>
      </c>
    </row>
    <row r="791" spans="1:1">
      <c r="A791" s="15" t="s">
        <v>215</v>
      </c>
    </row>
    <row r="792" spans="1:1">
      <c r="A792" s="15" t="s">
        <v>369</v>
      </c>
    </row>
    <row r="793" spans="1:1">
      <c r="A793" s="15" t="s">
        <v>216</v>
      </c>
    </row>
    <row r="794" spans="1:1">
      <c r="A794" s="15" t="s">
        <v>242</v>
      </c>
    </row>
    <row r="795" spans="1:1">
      <c r="A795" s="15" t="s">
        <v>217</v>
      </c>
    </row>
    <row r="796" spans="1:1">
      <c r="A796" s="15" t="s">
        <v>526</v>
      </c>
    </row>
    <row r="797" spans="1:1">
      <c r="A797" s="15" t="s">
        <v>218</v>
      </c>
    </row>
    <row r="800" spans="1:1">
      <c r="A800" s="15" t="s">
        <v>213</v>
      </c>
    </row>
    <row r="803" spans="1:1">
      <c r="A803" s="15" t="s">
        <v>214</v>
      </c>
    </row>
    <row r="804" spans="1:1">
      <c r="A804" s="15" t="s">
        <v>215</v>
      </c>
    </row>
    <row r="805" spans="1:1">
      <c r="A805" s="15" t="s">
        <v>438</v>
      </c>
    </row>
    <row r="806" spans="1:1">
      <c r="A806" s="15" t="s">
        <v>216</v>
      </c>
    </row>
    <row r="807" spans="1:1">
      <c r="A807" s="15" t="s">
        <v>242</v>
      </c>
    </row>
    <row r="808" spans="1:1">
      <c r="A808" s="15" t="s">
        <v>217</v>
      </c>
    </row>
    <row r="809" spans="1:1">
      <c r="A809" s="15" t="s">
        <v>527</v>
      </c>
    </row>
    <row r="810" spans="1:1">
      <c r="A810" s="15" t="s">
        <v>218</v>
      </c>
    </row>
    <row r="813" spans="1:1">
      <c r="A813" s="15" t="s">
        <v>213</v>
      </c>
    </row>
    <row r="816" spans="1:1">
      <c r="A816" s="15" t="s">
        <v>214</v>
      </c>
    </row>
    <row r="817" spans="1:1">
      <c r="A817" s="15" t="s">
        <v>215</v>
      </c>
    </row>
    <row r="818" spans="1:1">
      <c r="A818" s="15" t="s">
        <v>370</v>
      </c>
    </row>
    <row r="819" spans="1:1">
      <c r="A819" s="15" t="s">
        <v>216</v>
      </c>
    </row>
    <row r="820" spans="1:1">
      <c r="A820" s="15" t="s">
        <v>242</v>
      </c>
    </row>
    <row r="821" spans="1:1">
      <c r="A821" s="15" t="s">
        <v>217</v>
      </c>
    </row>
    <row r="822" spans="1:1">
      <c r="A822" s="15" t="s">
        <v>528</v>
      </c>
    </row>
    <row r="823" spans="1:1">
      <c r="A823" s="15" t="s">
        <v>218</v>
      </c>
    </row>
    <row r="826" spans="1:1">
      <c r="A826" s="15" t="s">
        <v>213</v>
      </c>
    </row>
    <row r="829" spans="1:1">
      <c r="A829" s="15" t="s">
        <v>214</v>
      </c>
    </row>
    <row r="830" spans="1:1">
      <c r="A830" s="15" t="s">
        <v>215</v>
      </c>
    </row>
    <row r="831" spans="1:1">
      <c r="A831" s="15" t="s">
        <v>371</v>
      </c>
    </row>
    <row r="832" spans="1:1">
      <c r="A832" s="15" t="s">
        <v>216</v>
      </c>
    </row>
    <row r="833" spans="1:1">
      <c r="A833" s="15" t="s">
        <v>242</v>
      </c>
    </row>
    <row r="834" spans="1:1">
      <c r="A834" s="15" t="s">
        <v>217</v>
      </c>
    </row>
    <row r="835" spans="1:1">
      <c r="A835" s="15" t="s">
        <v>529</v>
      </c>
    </row>
    <row r="836" spans="1:1">
      <c r="A836" s="15" t="s">
        <v>218</v>
      </c>
    </row>
    <row r="839" spans="1:1">
      <c r="A839" s="15" t="s">
        <v>213</v>
      </c>
    </row>
    <row r="842" spans="1:1">
      <c r="A842" s="15" t="s">
        <v>214</v>
      </c>
    </row>
    <row r="843" spans="1:1">
      <c r="A843" s="15" t="s">
        <v>215</v>
      </c>
    </row>
    <row r="844" spans="1:1">
      <c r="A844" s="15" t="s">
        <v>372</v>
      </c>
    </row>
    <row r="845" spans="1:1">
      <c r="A845" s="15" t="s">
        <v>216</v>
      </c>
    </row>
    <row r="846" spans="1:1">
      <c r="A846" s="15" t="s">
        <v>242</v>
      </c>
    </row>
    <row r="847" spans="1:1">
      <c r="A847" s="15" t="s">
        <v>217</v>
      </c>
    </row>
    <row r="848" spans="1:1">
      <c r="A848" s="15" t="s">
        <v>530</v>
      </c>
    </row>
    <row r="849" spans="1:1">
      <c r="A849" s="15" t="s">
        <v>218</v>
      </c>
    </row>
    <row r="852" spans="1:1">
      <c r="A852" s="15" t="s">
        <v>213</v>
      </c>
    </row>
    <row r="855" spans="1:1">
      <c r="A855" s="15" t="s">
        <v>214</v>
      </c>
    </row>
    <row r="856" spans="1:1">
      <c r="A856" s="15" t="s">
        <v>215</v>
      </c>
    </row>
    <row r="857" spans="1:1">
      <c r="A857" s="15" t="s">
        <v>373</v>
      </c>
    </row>
    <row r="858" spans="1:1">
      <c r="A858" s="15" t="s">
        <v>216</v>
      </c>
    </row>
    <row r="859" spans="1:1">
      <c r="A859" s="15" t="s">
        <v>242</v>
      </c>
    </row>
    <row r="860" spans="1:1">
      <c r="A860" s="15" t="s">
        <v>217</v>
      </c>
    </row>
    <row r="861" spans="1:1">
      <c r="A861" s="15" t="s">
        <v>531</v>
      </c>
    </row>
    <row r="862" spans="1:1">
      <c r="A862" s="15" t="s">
        <v>218</v>
      </c>
    </row>
    <row r="865" spans="1:1">
      <c r="A865" s="15" t="s">
        <v>213</v>
      </c>
    </row>
    <row r="868" spans="1:1">
      <c r="A868" s="15" t="s">
        <v>214</v>
      </c>
    </row>
    <row r="869" spans="1:1">
      <c r="A869" s="15" t="s">
        <v>215</v>
      </c>
    </row>
    <row r="870" spans="1:1">
      <c r="A870" s="15" t="s">
        <v>439</v>
      </c>
    </row>
    <row r="871" spans="1:1">
      <c r="A871" s="15" t="s">
        <v>216</v>
      </c>
    </row>
    <row r="872" spans="1:1">
      <c r="A872" s="15" t="s">
        <v>242</v>
      </c>
    </row>
    <row r="873" spans="1:1">
      <c r="A873" s="15" t="s">
        <v>217</v>
      </c>
    </row>
    <row r="874" spans="1:1">
      <c r="A874" s="15" t="s">
        <v>532</v>
      </c>
    </row>
    <row r="875" spans="1:1">
      <c r="A875" s="15" t="s">
        <v>218</v>
      </c>
    </row>
    <row r="878" spans="1:1">
      <c r="A878" s="15" t="s">
        <v>213</v>
      </c>
    </row>
    <row r="881" spans="1:1">
      <c r="A881" s="15" t="s">
        <v>214</v>
      </c>
    </row>
    <row r="882" spans="1:1">
      <c r="A882" s="15" t="s">
        <v>215</v>
      </c>
    </row>
    <row r="883" spans="1:1">
      <c r="A883" s="15" t="s">
        <v>374</v>
      </c>
    </row>
    <row r="884" spans="1:1">
      <c r="A884" s="15" t="s">
        <v>216</v>
      </c>
    </row>
    <row r="885" spans="1:1">
      <c r="A885" s="15" t="s">
        <v>242</v>
      </c>
    </row>
    <row r="886" spans="1:1">
      <c r="A886" s="15" t="s">
        <v>217</v>
      </c>
    </row>
    <row r="887" spans="1:1">
      <c r="A887" s="15" t="s">
        <v>533</v>
      </c>
    </row>
    <row r="888" spans="1:1">
      <c r="A888" s="15" t="s">
        <v>218</v>
      </c>
    </row>
    <row r="891" spans="1:1">
      <c r="A891" s="15" t="s">
        <v>213</v>
      </c>
    </row>
    <row r="894" spans="1:1">
      <c r="A894" s="15" t="s">
        <v>214</v>
      </c>
    </row>
    <row r="895" spans="1:1">
      <c r="A895" s="15" t="s">
        <v>215</v>
      </c>
    </row>
    <row r="896" spans="1:1">
      <c r="A896" s="15" t="s">
        <v>375</v>
      </c>
    </row>
    <row r="897" spans="1:1">
      <c r="A897" s="15" t="s">
        <v>216</v>
      </c>
    </row>
    <row r="898" spans="1:1">
      <c r="A898" s="15" t="s">
        <v>242</v>
      </c>
    </row>
    <row r="899" spans="1:1">
      <c r="A899" s="15" t="s">
        <v>217</v>
      </c>
    </row>
    <row r="900" spans="1:1">
      <c r="A900" s="15" t="s">
        <v>534</v>
      </c>
    </row>
    <row r="901" spans="1:1">
      <c r="A901" s="15" t="s">
        <v>218</v>
      </c>
    </row>
    <row r="904" spans="1:1">
      <c r="A904" s="15" t="s">
        <v>213</v>
      </c>
    </row>
    <row r="907" spans="1:1">
      <c r="A907" s="15" t="s">
        <v>214</v>
      </c>
    </row>
    <row r="908" spans="1:1">
      <c r="A908" s="15" t="s">
        <v>215</v>
      </c>
    </row>
    <row r="909" spans="1:1">
      <c r="A909" s="15" t="s">
        <v>376</v>
      </c>
    </row>
    <row r="910" spans="1:1">
      <c r="A910" s="15" t="s">
        <v>216</v>
      </c>
    </row>
    <row r="911" spans="1:1">
      <c r="A911" s="15" t="s">
        <v>242</v>
      </c>
    </row>
    <row r="912" spans="1:1">
      <c r="A912" s="15" t="s">
        <v>217</v>
      </c>
    </row>
    <row r="913" spans="1:1">
      <c r="A913" s="15" t="s">
        <v>535</v>
      </c>
    </row>
    <row r="914" spans="1:1">
      <c r="A914" s="15" t="s">
        <v>218</v>
      </c>
    </row>
    <row r="917" spans="1:1">
      <c r="A917" s="15" t="s">
        <v>213</v>
      </c>
    </row>
    <row r="920" spans="1:1">
      <c r="A920" s="15" t="s">
        <v>214</v>
      </c>
    </row>
    <row r="921" spans="1:1">
      <c r="A921" s="15" t="s">
        <v>215</v>
      </c>
    </row>
    <row r="922" spans="1:1">
      <c r="A922" s="15" t="s">
        <v>377</v>
      </c>
    </row>
    <row r="923" spans="1:1">
      <c r="A923" s="15" t="s">
        <v>216</v>
      </c>
    </row>
    <row r="924" spans="1:1">
      <c r="A924" s="15" t="s">
        <v>242</v>
      </c>
    </row>
    <row r="925" spans="1:1">
      <c r="A925" s="15" t="s">
        <v>217</v>
      </c>
    </row>
    <row r="926" spans="1:1">
      <c r="A926" s="15" t="s">
        <v>536</v>
      </c>
    </row>
    <row r="927" spans="1:1">
      <c r="A927" s="15" t="s">
        <v>218</v>
      </c>
    </row>
    <row r="930" spans="1:1">
      <c r="A930" s="15" t="s">
        <v>213</v>
      </c>
    </row>
    <row r="933" spans="1:1">
      <c r="A933" s="15" t="s">
        <v>214</v>
      </c>
    </row>
    <row r="934" spans="1:1">
      <c r="A934" s="15" t="s">
        <v>215</v>
      </c>
    </row>
    <row r="935" spans="1:1">
      <c r="A935" s="15" t="s">
        <v>378</v>
      </c>
    </row>
    <row r="936" spans="1:1">
      <c r="A936" s="15" t="s">
        <v>216</v>
      </c>
    </row>
    <row r="937" spans="1:1">
      <c r="A937" s="15" t="s">
        <v>242</v>
      </c>
    </row>
    <row r="938" spans="1:1">
      <c r="A938" s="15" t="s">
        <v>217</v>
      </c>
    </row>
    <row r="939" spans="1:1">
      <c r="A939" s="15" t="s">
        <v>537</v>
      </c>
    </row>
    <row r="940" spans="1:1">
      <c r="A940" s="15" t="s">
        <v>218</v>
      </c>
    </row>
    <row r="943" spans="1:1">
      <c r="A943" s="15" t="s">
        <v>213</v>
      </c>
    </row>
    <row r="946" spans="1:1">
      <c r="A946" s="15" t="s">
        <v>214</v>
      </c>
    </row>
    <row r="947" spans="1:1">
      <c r="A947" s="15" t="s">
        <v>215</v>
      </c>
    </row>
    <row r="948" spans="1:1">
      <c r="A948" s="15" t="s">
        <v>379</v>
      </c>
    </row>
    <row r="949" spans="1:1">
      <c r="A949" s="15" t="s">
        <v>216</v>
      </c>
    </row>
    <row r="950" spans="1:1">
      <c r="A950" s="15" t="s">
        <v>242</v>
      </c>
    </row>
    <row r="951" spans="1:1">
      <c r="A951" s="15" t="s">
        <v>217</v>
      </c>
    </row>
    <row r="952" spans="1:1">
      <c r="A952" s="15" t="s">
        <v>538</v>
      </c>
    </row>
    <row r="953" spans="1:1">
      <c r="A953" s="15" t="s">
        <v>218</v>
      </c>
    </row>
    <row r="956" spans="1:1">
      <c r="A956" s="15" t="s">
        <v>213</v>
      </c>
    </row>
    <row r="959" spans="1:1">
      <c r="A959" s="15" t="s">
        <v>214</v>
      </c>
    </row>
    <row r="960" spans="1:1">
      <c r="A960" s="15" t="s">
        <v>215</v>
      </c>
    </row>
    <row r="961" spans="1:1">
      <c r="A961" s="15" t="s">
        <v>380</v>
      </c>
    </row>
    <row r="962" spans="1:1">
      <c r="A962" s="15" t="s">
        <v>216</v>
      </c>
    </row>
    <row r="963" spans="1:1">
      <c r="A963" s="15" t="s">
        <v>242</v>
      </c>
    </row>
    <row r="964" spans="1:1">
      <c r="A964" s="15" t="s">
        <v>217</v>
      </c>
    </row>
    <row r="965" spans="1:1">
      <c r="A965" s="15" t="s">
        <v>539</v>
      </c>
    </row>
    <row r="966" spans="1:1">
      <c r="A966" s="15" t="s">
        <v>218</v>
      </c>
    </row>
    <row r="969" spans="1:1">
      <c r="A969" s="15" t="s">
        <v>213</v>
      </c>
    </row>
    <row r="972" spans="1:1">
      <c r="A972" s="15" t="s">
        <v>214</v>
      </c>
    </row>
    <row r="973" spans="1:1">
      <c r="A973" s="15" t="s">
        <v>215</v>
      </c>
    </row>
    <row r="974" spans="1:1">
      <c r="A974" s="15" t="s">
        <v>381</v>
      </c>
    </row>
    <row r="975" spans="1:1">
      <c r="A975" s="15" t="s">
        <v>216</v>
      </c>
    </row>
    <row r="976" spans="1:1">
      <c r="A976" s="15" t="s">
        <v>242</v>
      </c>
    </row>
    <row r="977" spans="1:1">
      <c r="A977" s="15" t="s">
        <v>217</v>
      </c>
    </row>
    <row r="978" spans="1:1">
      <c r="A978" s="15" t="s">
        <v>540</v>
      </c>
    </row>
    <row r="979" spans="1:1">
      <c r="A979" s="15" t="s">
        <v>218</v>
      </c>
    </row>
    <row r="982" spans="1:1">
      <c r="A982" s="15" t="s">
        <v>213</v>
      </c>
    </row>
    <row r="985" spans="1:1">
      <c r="A985" s="15" t="s">
        <v>214</v>
      </c>
    </row>
    <row r="986" spans="1:1">
      <c r="A986" s="15" t="s">
        <v>215</v>
      </c>
    </row>
    <row r="987" spans="1:1">
      <c r="A987" s="15" t="s">
        <v>382</v>
      </c>
    </row>
    <row r="988" spans="1:1">
      <c r="A988" s="15" t="s">
        <v>216</v>
      </c>
    </row>
    <row r="989" spans="1:1">
      <c r="A989" s="15" t="s">
        <v>242</v>
      </c>
    </row>
    <row r="990" spans="1:1">
      <c r="A990" s="15" t="s">
        <v>217</v>
      </c>
    </row>
    <row r="991" spans="1:1">
      <c r="A991" s="15" t="s">
        <v>541</v>
      </c>
    </row>
    <row r="992" spans="1:1">
      <c r="A992" s="15" t="s">
        <v>218</v>
      </c>
    </row>
    <row r="995" spans="1:1">
      <c r="A995" s="15" t="s">
        <v>213</v>
      </c>
    </row>
    <row r="998" spans="1:1">
      <c r="A998" s="15" t="s">
        <v>214</v>
      </c>
    </row>
    <row r="999" spans="1:1">
      <c r="A999" s="15" t="s">
        <v>215</v>
      </c>
    </row>
    <row r="1000" spans="1:1">
      <c r="A1000" s="15" t="s">
        <v>383</v>
      </c>
    </row>
    <row r="1001" spans="1:1">
      <c r="A1001" s="15" t="s">
        <v>216</v>
      </c>
    </row>
    <row r="1002" spans="1:1">
      <c r="A1002" s="15" t="s">
        <v>242</v>
      </c>
    </row>
    <row r="1003" spans="1:1">
      <c r="A1003" s="15" t="s">
        <v>217</v>
      </c>
    </row>
    <row r="1004" spans="1:1">
      <c r="A1004" s="15" t="s">
        <v>542</v>
      </c>
    </row>
    <row r="1005" spans="1:1">
      <c r="A1005" s="15" t="s">
        <v>218</v>
      </c>
    </row>
    <row r="1008" spans="1:1">
      <c r="A1008" s="15" t="s">
        <v>213</v>
      </c>
    </row>
    <row r="1011" spans="1:1">
      <c r="A1011" s="15" t="s">
        <v>214</v>
      </c>
    </row>
    <row r="1012" spans="1:1">
      <c r="A1012" s="15" t="s">
        <v>215</v>
      </c>
    </row>
    <row r="1013" spans="1:1">
      <c r="A1013" s="15" t="s">
        <v>384</v>
      </c>
    </row>
    <row r="1014" spans="1:1">
      <c r="A1014" s="15" t="s">
        <v>216</v>
      </c>
    </row>
    <row r="1015" spans="1:1">
      <c r="A1015" s="15" t="s">
        <v>242</v>
      </c>
    </row>
    <row r="1016" spans="1:1">
      <c r="A1016" s="15" t="s">
        <v>217</v>
      </c>
    </row>
    <row r="1017" spans="1:1">
      <c r="A1017" s="15" t="s">
        <v>543</v>
      </c>
    </row>
    <row r="1018" spans="1:1">
      <c r="A1018" s="15" t="s">
        <v>218</v>
      </c>
    </row>
    <row r="1021" spans="1:1">
      <c r="A1021" s="15" t="s">
        <v>213</v>
      </c>
    </row>
    <row r="1024" spans="1:1">
      <c r="A1024" s="15" t="s">
        <v>214</v>
      </c>
    </row>
    <row r="1025" spans="1:1">
      <c r="A1025" s="15" t="s">
        <v>215</v>
      </c>
    </row>
    <row r="1026" spans="1:1">
      <c r="A1026" s="15" t="s">
        <v>385</v>
      </c>
    </row>
    <row r="1027" spans="1:1">
      <c r="A1027" s="15" t="s">
        <v>216</v>
      </c>
    </row>
    <row r="1028" spans="1:1">
      <c r="A1028" s="15" t="s">
        <v>242</v>
      </c>
    </row>
    <row r="1029" spans="1:1">
      <c r="A1029" s="15" t="s">
        <v>217</v>
      </c>
    </row>
    <row r="1030" spans="1:1">
      <c r="A1030" s="15" t="s">
        <v>544</v>
      </c>
    </row>
    <row r="1031" spans="1:1">
      <c r="A1031" s="15" t="s">
        <v>218</v>
      </c>
    </row>
    <row r="1034" spans="1:1">
      <c r="A1034" s="15" t="s">
        <v>213</v>
      </c>
    </row>
    <row r="1037" spans="1:1">
      <c r="A1037" s="15" t="s">
        <v>214</v>
      </c>
    </row>
    <row r="1038" spans="1:1">
      <c r="A1038" s="15" t="s">
        <v>215</v>
      </c>
    </row>
    <row r="1039" spans="1:1">
      <c r="A1039" s="15" t="s">
        <v>386</v>
      </c>
    </row>
    <row r="1040" spans="1:1">
      <c r="A1040" s="15" t="s">
        <v>216</v>
      </c>
    </row>
    <row r="1041" spans="1:1">
      <c r="A1041" s="15" t="s">
        <v>242</v>
      </c>
    </row>
    <row r="1042" spans="1:1">
      <c r="A1042" s="15" t="s">
        <v>217</v>
      </c>
    </row>
    <row r="1043" spans="1:1">
      <c r="A1043" s="15" t="s">
        <v>545</v>
      </c>
    </row>
    <row r="1044" spans="1:1">
      <c r="A1044" s="15" t="s">
        <v>218</v>
      </c>
    </row>
    <row r="1047" spans="1:1">
      <c r="A1047" s="15" t="s">
        <v>213</v>
      </c>
    </row>
    <row r="1050" spans="1:1">
      <c r="A1050" s="15" t="s">
        <v>214</v>
      </c>
    </row>
    <row r="1051" spans="1:1">
      <c r="A1051" s="15" t="s">
        <v>215</v>
      </c>
    </row>
    <row r="1052" spans="1:1">
      <c r="A1052" s="15" t="s">
        <v>387</v>
      </c>
    </row>
    <row r="1053" spans="1:1">
      <c r="A1053" s="15" t="s">
        <v>216</v>
      </c>
    </row>
    <row r="1054" spans="1:1">
      <c r="A1054" s="15" t="s">
        <v>242</v>
      </c>
    </row>
    <row r="1055" spans="1:1">
      <c r="A1055" s="15" t="s">
        <v>217</v>
      </c>
    </row>
    <row r="1056" spans="1:1">
      <c r="A1056" s="15" t="s">
        <v>546</v>
      </c>
    </row>
    <row r="1057" spans="1:1">
      <c r="A1057" s="15" t="s">
        <v>218</v>
      </c>
    </row>
    <row r="1060" spans="1:1">
      <c r="A1060" s="15" t="s">
        <v>213</v>
      </c>
    </row>
    <row r="1063" spans="1:1">
      <c r="A1063" s="15" t="s">
        <v>214</v>
      </c>
    </row>
    <row r="1064" spans="1:1">
      <c r="A1064" s="15" t="s">
        <v>215</v>
      </c>
    </row>
    <row r="1065" spans="1:1">
      <c r="A1065" s="15" t="s">
        <v>388</v>
      </c>
    </row>
    <row r="1066" spans="1:1">
      <c r="A1066" s="15" t="s">
        <v>216</v>
      </c>
    </row>
    <row r="1067" spans="1:1">
      <c r="A1067" s="15" t="s">
        <v>242</v>
      </c>
    </row>
    <row r="1068" spans="1:1">
      <c r="A1068" s="15" t="s">
        <v>217</v>
      </c>
    </row>
    <row r="1069" spans="1:1">
      <c r="A1069" s="15" t="s">
        <v>547</v>
      </c>
    </row>
    <row r="1070" spans="1:1">
      <c r="A1070" s="15" t="s">
        <v>218</v>
      </c>
    </row>
    <row r="1073" spans="1:1">
      <c r="A1073" s="15" t="s">
        <v>213</v>
      </c>
    </row>
    <row r="1076" spans="1:1">
      <c r="A1076" s="15" t="s">
        <v>214</v>
      </c>
    </row>
    <row r="1077" spans="1:1">
      <c r="A1077" s="15" t="s">
        <v>215</v>
      </c>
    </row>
    <row r="1078" spans="1:1">
      <c r="A1078" s="15" t="s">
        <v>389</v>
      </c>
    </row>
    <row r="1079" spans="1:1">
      <c r="A1079" s="15" t="s">
        <v>216</v>
      </c>
    </row>
    <row r="1080" spans="1:1">
      <c r="A1080" s="15" t="s">
        <v>242</v>
      </c>
    </row>
    <row r="1081" spans="1:1">
      <c r="A1081" s="15" t="s">
        <v>217</v>
      </c>
    </row>
    <row r="1082" spans="1:1">
      <c r="A1082" s="15" t="s">
        <v>548</v>
      </c>
    </row>
    <row r="1083" spans="1:1">
      <c r="A1083" s="15" t="s">
        <v>218</v>
      </c>
    </row>
    <row r="1086" spans="1:1">
      <c r="A1086" s="15" t="s">
        <v>213</v>
      </c>
    </row>
    <row r="1089" spans="1:1">
      <c r="A1089" s="15" t="s">
        <v>214</v>
      </c>
    </row>
    <row r="1090" spans="1:1">
      <c r="A1090" s="15" t="s">
        <v>215</v>
      </c>
    </row>
    <row r="1091" spans="1:1">
      <c r="A1091" s="15" t="s">
        <v>390</v>
      </c>
    </row>
    <row r="1092" spans="1:1">
      <c r="A1092" s="15" t="s">
        <v>216</v>
      </c>
    </row>
    <row r="1093" spans="1:1">
      <c r="A1093" s="15" t="s">
        <v>242</v>
      </c>
    </row>
    <row r="1094" spans="1:1">
      <c r="A1094" s="15" t="s">
        <v>217</v>
      </c>
    </row>
    <row r="1095" spans="1:1">
      <c r="A1095" s="15" t="s">
        <v>549</v>
      </c>
    </row>
    <row r="1096" spans="1:1">
      <c r="A1096" s="15" t="s">
        <v>218</v>
      </c>
    </row>
    <row r="1099" spans="1:1">
      <c r="A1099" s="15" t="s">
        <v>213</v>
      </c>
    </row>
    <row r="1102" spans="1:1">
      <c r="A1102" s="15" t="s">
        <v>214</v>
      </c>
    </row>
    <row r="1103" spans="1:1">
      <c r="A1103" s="15" t="s">
        <v>215</v>
      </c>
    </row>
    <row r="1104" spans="1:1">
      <c r="A1104" s="15" t="s">
        <v>391</v>
      </c>
    </row>
    <row r="1105" spans="1:1">
      <c r="A1105" s="15" t="s">
        <v>216</v>
      </c>
    </row>
    <row r="1106" spans="1:1">
      <c r="A1106" s="15" t="s">
        <v>242</v>
      </c>
    </row>
    <row r="1107" spans="1:1">
      <c r="A1107" s="15" t="s">
        <v>217</v>
      </c>
    </row>
    <row r="1108" spans="1:1">
      <c r="A1108" s="15" t="s">
        <v>550</v>
      </c>
    </row>
    <row r="1109" spans="1:1">
      <c r="A1109" s="15" t="s">
        <v>218</v>
      </c>
    </row>
    <row r="1112" spans="1:1">
      <c r="A1112" s="15" t="s">
        <v>213</v>
      </c>
    </row>
    <row r="1115" spans="1:1">
      <c r="A1115" s="15" t="s">
        <v>214</v>
      </c>
    </row>
    <row r="1116" spans="1:1">
      <c r="A1116" s="15" t="s">
        <v>215</v>
      </c>
    </row>
    <row r="1117" spans="1:1">
      <c r="A1117" s="15" t="s">
        <v>392</v>
      </c>
    </row>
    <row r="1118" spans="1:1">
      <c r="A1118" s="15" t="s">
        <v>216</v>
      </c>
    </row>
    <row r="1119" spans="1:1">
      <c r="A1119" s="15" t="s">
        <v>242</v>
      </c>
    </row>
    <row r="1120" spans="1:1">
      <c r="A1120" s="15" t="s">
        <v>217</v>
      </c>
    </row>
    <row r="1121" spans="1:1">
      <c r="A1121" s="15" t="s">
        <v>551</v>
      </c>
    </row>
    <row r="1122" spans="1:1">
      <c r="A1122" s="15" t="s">
        <v>218</v>
      </c>
    </row>
    <row r="1125" spans="1:1">
      <c r="A1125" s="15" t="s">
        <v>213</v>
      </c>
    </row>
    <row r="1128" spans="1:1">
      <c r="A1128" s="15" t="s">
        <v>214</v>
      </c>
    </row>
    <row r="1129" spans="1:1">
      <c r="A1129" s="15" t="s">
        <v>215</v>
      </c>
    </row>
    <row r="1130" spans="1:1">
      <c r="A1130" s="15" t="s">
        <v>393</v>
      </c>
    </row>
    <row r="1131" spans="1:1">
      <c r="A1131" s="15" t="s">
        <v>216</v>
      </c>
    </row>
    <row r="1132" spans="1:1">
      <c r="A1132" s="15" t="s">
        <v>242</v>
      </c>
    </row>
    <row r="1133" spans="1:1">
      <c r="A1133" s="15" t="s">
        <v>217</v>
      </c>
    </row>
    <row r="1134" spans="1:1">
      <c r="A1134" s="15" t="s">
        <v>552</v>
      </c>
    </row>
    <row r="1135" spans="1:1">
      <c r="A1135" s="15" t="s">
        <v>218</v>
      </c>
    </row>
    <row r="1138" spans="1:1">
      <c r="A1138" s="15" t="s">
        <v>213</v>
      </c>
    </row>
    <row r="1141" spans="1:1">
      <c r="A1141" s="15" t="s">
        <v>214</v>
      </c>
    </row>
    <row r="1142" spans="1:1">
      <c r="A1142" s="15" t="s">
        <v>215</v>
      </c>
    </row>
    <row r="1143" spans="1:1">
      <c r="A1143" s="15" t="s">
        <v>394</v>
      </c>
    </row>
    <row r="1144" spans="1:1">
      <c r="A1144" s="15" t="s">
        <v>216</v>
      </c>
    </row>
    <row r="1145" spans="1:1">
      <c r="A1145" s="15" t="s">
        <v>242</v>
      </c>
    </row>
    <row r="1146" spans="1:1">
      <c r="A1146" s="15" t="s">
        <v>217</v>
      </c>
    </row>
    <row r="1147" spans="1:1">
      <c r="A1147" s="15" t="s">
        <v>553</v>
      </c>
    </row>
    <row r="1148" spans="1:1">
      <c r="A1148" s="15" t="s">
        <v>218</v>
      </c>
    </row>
    <row r="1151" spans="1:1">
      <c r="A1151" s="15" t="s">
        <v>213</v>
      </c>
    </row>
    <row r="1154" spans="1:1">
      <c r="A1154" s="15" t="s">
        <v>214</v>
      </c>
    </row>
    <row r="1155" spans="1:1">
      <c r="A1155" s="15" t="s">
        <v>215</v>
      </c>
    </row>
    <row r="1156" spans="1:1">
      <c r="A1156" s="15" t="s">
        <v>395</v>
      </c>
    </row>
    <row r="1157" spans="1:1">
      <c r="A1157" s="15" t="s">
        <v>216</v>
      </c>
    </row>
    <row r="1158" spans="1:1">
      <c r="A1158" s="15" t="s">
        <v>242</v>
      </c>
    </row>
    <row r="1159" spans="1:1">
      <c r="A1159" s="15" t="s">
        <v>217</v>
      </c>
    </row>
    <row r="1160" spans="1:1">
      <c r="A1160" s="15" t="s">
        <v>554</v>
      </c>
    </row>
    <row r="1161" spans="1:1">
      <c r="A1161" s="15" t="s">
        <v>218</v>
      </c>
    </row>
    <row r="1164" spans="1:1">
      <c r="A1164" s="15" t="s">
        <v>213</v>
      </c>
    </row>
    <row r="1167" spans="1:1">
      <c r="A1167" s="15" t="s">
        <v>214</v>
      </c>
    </row>
    <row r="1168" spans="1:1">
      <c r="A1168" s="15" t="s">
        <v>215</v>
      </c>
    </row>
    <row r="1169" spans="1:1">
      <c r="A1169" s="15" t="s">
        <v>396</v>
      </c>
    </row>
    <row r="1170" spans="1:1">
      <c r="A1170" s="15" t="s">
        <v>216</v>
      </c>
    </row>
    <row r="1171" spans="1:1">
      <c r="A1171" s="15" t="s">
        <v>242</v>
      </c>
    </row>
    <row r="1172" spans="1:1">
      <c r="A1172" s="15" t="s">
        <v>217</v>
      </c>
    </row>
    <row r="1173" spans="1:1">
      <c r="A1173" s="15" t="s">
        <v>555</v>
      </c>
    </row>
    <row r="1174" spans="1:1">
      <c r="A1174" s="15" t="s">
        <v>218</v>
      </c>
    </row>
    <row r="1177" spans="1:1">
      <c r="A1177" s="15" t="s">
        <v>213</v>
      </c>
    </row>
    <row r="1180" spans="1:1">
      <c r="A1180" s="15" t="s">
        <v>214</v>
      </c>
    </row>
    <row r="1181" spans="1:1">
      <c r="A1181" s="15" t="s">
        <v>215</v>
      </c>
    </row>
    <row r="1182" spans="1:1">
      <c r="A1182" s="15" t="s">
        <v>397</v>
      </c>
    </row>
    <row r="1183" spans="1:1">
      <c r="A1183" s="15" t="s">
        <v>216</v>
      </c>
    </row>
    <row r="1184" spans="1:1">
      <c r="A1184" s="15" t="s">
        <v>242</v>
      </c>
    </row>
    <row r="1185" spans="1:1">
      <c r="A1185" s="15" t="s">
        <v>217</v>
      </c>
    </row>
    <row r="1186" spans="1:1">
      <c r="A1186" s="15" t="s">
        <v>556</v>
      </c>
    </row>
    <row r="1187" spans="1:1">
      <c r="A1187" s="15" t="s">
        <v>218</v>
      </c>
    </row>
    <row r="1190" spans="1:1">
      <c r="A1190" s="15" t="s">
        <v>213</v>
      </c>
    </row>
    <row r="1193" spans="1:1">
      <c r="A1193" s="15" t="s">
        <v>214</v>
      </c>
    </row>
    <row r="1194" spans="1:1">
      <c r="A1194" s="15" t="s">
        <v>215</v>
      </c>
    </row>
    <row r="1195" spans="1:1">
      <c r="A1195" s="15" t="s">
        <v>398</v>
      </c>
    </row>
    <row r="1196" spans="1:1">
      <c r="A1196" s="15" t="s">
        <v>216</v>
      </c>
    </row>
    <row r="1197" spans="1:1">
      <c r="A1197" s="15" t="s">
        <v>242</v>
      </c>
    </row>
    <row r="1198" spans="1:1">
      <c r="A1198" s="15" t="s">
        <v>217</v>
      </c>
    </row>
    <row r="1199" spans="1:1">
      <c r="A1199" s="15" t="s">
        <v>557</v>
      </c>
    </row>
    <row r="1200" spans="1:1">
      <c r="A1200" s="15" t="s">
        <v>218</v>
      </c>
    </row>
    <row r="1203" spans="1:1">
      <c r="A1203" s="15" t="s">
        <v>213</v>
      </c>
    </row>
    <row r="1206" spans="1:1">
      <c r="A1206" s="15" t="s">
        <v>214</v>
      </c>
    </row>
    <row r="1207" spans="1:1">
      <c r="A1207" s="15" t="s">
        <v>215</v>
      </c>
    </row>
    <row r="1208" spans="1:1">
      <c r="A1208" s="15" t="s">
        <v>399</v>
      </c>
    </row>
    <row r="1209" spans="1:1">
      <c r="A1209" s="15" t="s">
        <v>216</v>
      </c>
    </row>
    <row r="1210" spans="1:1">
      <c r="A1210" s="15" t="s">
        <v>242</v>
      </c>
    </row>
    <row r="1211" spans="1:1">
      <c r="A1211" s="15" t="s">
        <v>217</v>
      </c>
    </row>
    <row r="1212" spans="1:1">
      <c r="A1212" s="15" t="s">
        <v>558</v>
      </c>
    </row>
    <row r="1213" spans="1:1">
      <c r="A1213" s="15" t="s">
        <v>218</v>
      </c>
    </row>
    <row r="1216" spans="1:1">
      <c r="A1216" s="15" t="s">
        <v>213</v>
      </c>
    </row>
    <row r="1219" spans="1:1">
      <c r="A1219" s="15" t="s">
        <v>214</v>
      </c>
    </row>
    <row r="1220" spans="1:1">
      <c r="A1220" s="15" t="s">
        <v>215</v>
      </c>
    </row>
    <row r="1221" spans="1:1">
      <c r="A1221" s="15" t="s">
        <v>400</v>
      </c>
    </row>
    <row r="1222" spans="1:1">
      <c r="A1222" s="15" t="s">
        <v>216</v>
      </c>
    </row>
    <row r="1223" spans="1:1">
      <c r="A1223" s="15" t="s">
        <v>242</v>
      </c>
    </row>
    <row r="1224" spans="1:1">
      <c r="A1224" s="15" t="s">
        <v>217</v>
      </c>
    </row>
    <row r="1225" spans="1:1">
      <c r="A1225" s="15" t="s">
        <v>559</v>
      </c>
    </row>
    <row r="1226" spans="1:1">
      <c r="A1226" s="15" t="s">
        <v>218</v>
      </c>
    </row>
    <row r="1229" spans="1:1">
      <c r="A1229" s="15" t="s">
        <v>214</v>
      </c>
    </row>
    <row r="1230" spans="1:1">
      <c r="A1230" s="15" t="s">
        <v>215</v>
      </c>
    </row>
    <row r="1231" spans="1:1">
      <c r="A1231" s="15" t="s">
        <v>442</v>
      </c>
    </row>
    <row r="1232" spans="1:1">
      <c r="A1232" s="15" t="s">
        <v>443</v>
      </c>
    </row>
    <row r="1233" spans="1:1">
      <c r="A1233" s="15" t="s">
        <v>218</v>
      </c>
    </row>
    <row r="1236" spans="1:1">
      <c r="A1236" s="15" t="s">
        <v>214</v>
      </c>
    </row>
    <row r="1237" spans="1:1">
      <c r="A1237" s="15" t="s">
        <v>215</v>
      </c>
    </row>
    <row r="1238" spans="1:1">
      <c r="A1238" s="15" t="s">
        <v>442</v>
      </c>
    </row>
    <row r="1239" spans="1:1">
      <c r="A1239" s="15" t="s">
        <v>443</v>
      </c>
    </row>
    <row r="1240" spans="1:1">
      <c r="A1240" s="15" t="s">
        <v>218</v>
      </c>
    </row>
    <row r="1243" spans="1:1">
      <c r="A1243" s="15" t="s">
        <v>213</v>
      </c>
    </row>
    <row r="1246" spans="1:1">
      <c r="A1246" s="15" t="s">
        <v>213</v>
      </c>
    </row>
    <row r="1249" spans="1:1">
      <c r="A1249" s="15" t="s">
        <v>213</v>
      </c>
    </row>
    <row r="1252" spans="1:1">
      <c r="A1252" s="15" t="s">
        <v>213</v>
      </c>
    </row>
    <row r="1255" spans="1:1">
      <c r="A1255" s="15" t="s">
        <v>213</v>
      </c>
    </row>
    <row r="1258" spans="1:1">
      <c r="A1258" s="15" t="s">
        <v>213</v>
      </c>
    </row>
    <row r="1261" spans="1:1">
      <c r="A1261" s="15" t="s">
        <v>213</v>
      </c>
    </row>
    <row r="1264" spans="1:1">
      <c r="A1264" s="15" t="s">
        <v>213</v>
      </c>
    </row>
    <row r="1267" spans="1:1">
      <c r="A1267" s="15" t="s">
        <v>213</v>
      </c>
    </row>
    <row r="1270" spans="1:1">
      <c r="A1270" s="15" t="s">
        <v>213</v>
      </c>
    </row>
    <row r="1273" spans="1:1">
      <c r="A1273" s="15" t="s">
        <v>213</v>
      </c>
    </row>
    <row r="1276" spans="1:1">
      <c r="A1276" s="15" t="s">
        <v>213</v>
      </c>
    </row>
    <row r="1279" spans="1:1">
      <c r="A1279" s="15" t="s">
        <v>213</v>
      </c>
    </row>
    <row r="1282" spans="1:1">
      <c r="A1282" s="15" t="s">
        <v>213</v>
      </c>
    </row>
    <row r="1285" spans="1:1">
      <c r="A1285" s="15" t="s">
        <v>213</v>
      </c>
    </row>
    <row r="1288" spans="1:1">
      <c r="A1288" s="15" t="s">
        <v>213</v>
      </c>
    </row>
    <row r="1291" spans="1:1">
      <c r="A1291" s="15" t="s">
        <v>213</v>
      </c>
    </row>
    <row r="1294" spans="1:1">
      <c r="A1294" s="15" t="s">
        <v>213</v>
      </c>
    </row>
    <row r="1297" spans="1:1">
      <c r="A1297" s="15" t="s">
        <v>213</v>
      </c>
    </row>
    <row r="1300" spans="1:1">
      <c r="A1300" s="15" t="s">
        <v>213</v>
      </c>
    </row>
    <row r="1303" spans="1:1">
      <c r="A1303" s="15" t="s">
        <v>213</v>
      </c>
    </row>
    <row r="1306" spans="1:1">
      <c r="A1306" s="15" t="s">
        <v>213</v>
      </c>
    </row>
    <row r="1309" spans="1:1">
      <c r="A1309" s="15" t="s">
        <v>213</v>
      </c>
    </row>
    <row r="1312" spans="1:1">
      <c r="A1312" s="15" t="s">
        <v>213</v>
      </c>
    </row>
    <row r="1315" spans="1:1">
      <c r="A1315" s="15" t="s">
        <v>213</v>
      </c>
    </row>
    <row r="1318" spans="1:1">
      <c r="A1318" s="15" t="s">
        <v>213</v>
      </c>
    </row>
    <row r="1321" spans="1:1">
      <c r="A1321" s="15" t="s">
        <v>213</v>
      </c>
    </row>
    <row r="1324" spans="1:1">
      <c r="A1324" s="15" t="s">
        <v>213</v>
      </c>
    </row>
    <row r="1327" spans="1:1">
      <c r="A1327" s="15" t="s">
        <v>213</v>
      </c>
    </row>
    <row r="1330" spans="1:1">
      <c r="A1330" s="15" t="s">
        <v>213</v>
      </c>
    </row>
    <row r="1333" spans="1:1">
      <c r="A1333" s="15" t="s">
        <v>213</v>
      </c>
    </row>
    <row r="1336" spans="1:1">
      <c r="A1336" s="15" t="s">
        <v>213</v>
      </c>
    </row>
    <row r="1339" spans="1:1">
      <c r="A1339" s="15" t="s">
        <v>213</v>
      </c>
    </row>
    <row r="1342" spans="1:1">
      <c r="A1342" s="15" t="s">
        <v>213</v>
      </c>
    </row>
    <row r="1345" spans="1:1">
      <c r="A1345" s="15" t="s">
        <v>213</v>
      </c>
    </row>
    <row r="1348" spans="1:1">
      <c r="A1348" s="15" t="s">
        <v>213</v>
      </c>
    </row>
    <row r="1351" spans="1:1">
      <c r="A1351" s="15" t="s">
        <v>213</v>
      </c>
    </row>
    <row r="1354" spans="1:1">
      <c r="A1354" s="15" t="s">
        <v>213</v>
      </c>
    </row>
    <row r="1357" spans="1:1">
      <c r="A1357" s="15" t="s">
        <v>213</v>
      </c>
    </row>
    <row r="1360" spans="1:1">
      <c r="A1360" s="15" t="s">
        <v>213</v>
      </c>
    </row>
    <row r="1363" spans="1:1">
      <c r="A1363" s="15" t="s">
        <v>213</v>
      </c>
    </row>
    <row r="1366" spans="1:1">
      <c r="A1366" s="15" t="s">
        <v>213</v>
      </c>
    </row>
    <row r="1369" spans="1:1">
      <c r="A1369" s="15" t="s">
        <v>213</v>
      </c>
    </row>
    <row r="1372" spans="1:1">
      <c r="A1372" s="15" t="s">
        <v>213</v>
      </c>
    </row>
    <row r="1375" spans="1:1">
      <c r="A1375" s="15" t="s">
        <v>213</v>
      </c>
    </row>
    <row r="1378" spans="1:1">
      <c r="A1378" s="15" t="s">
        <v>213</v>
      </c>
    </row>
    <row r="1381" spans="1:1">
      <c r="A1381" s="15" t="s">
        <v>213</v>
      </c>
    </row>
    <row r="1384" spans="1:1">
      <c r="A1384" s="15" t="s">
        <v>213</v>
      </c>
    </row>
    <row r="1387" spans="1:1">
      <c r="A1387" s="15" t="s">
        <v>213</v>
      </c>
    </row>
    <row r="1390" spans="1:1">
      <c r="A1390" s="15" t="s">
        <v>213</v>
      </c>
    </row>
    <row r="1393" spans="1:1">
      <c r="A1393" s="15" t="s">
        <v>213</v>
      </c>
    </row>
    <row r="1396" spans="1:1">
      <c r="A1396" s="15" t="s">
        <v>213</v>
      </c>
    </row>
    <row r="1399" spans="1:1">
      <c r="A1399" s="15" t="s">
        <v>213</v>
      </c>
    </row>
    <row r="1402" spans="1:1">
      <c r="A1402" s="15" t="s">
        <v>213</v>
      </c>
    </row>
    <row r="1405" spans="1:1">
      <c r="A1405" s="15" t="s">
        <v>213</v>
      </c>
    </row>
    <row r="1408" spans="1:1">
      <c r="A1408" s="15" t="s">
        <v>213</v>
      </c>
    </row>
  </sheetData>
  <pageMargins left="0.7" right="0.7" top="0.75" bottom="0.75" header="0.3" footer="0.3"/>
  <pageSetup orientation="portrait" r:id="rId1"/>
  <headerFooter>
    <oddFooter>&amp;C_x000D_&amp;1#&amp;"Calibri"&amp;10&amp;K000000 Public Information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tListings"/>
  <dimension ref="B1:Y78"/>
  <sheetViews>
    <sheetView workbookViewId="0">
      <selection activeCell="H63" sqref="H63"/>
    </sheetView>
  </sheetViews>
  <sheetFormatPr defaultColWidth="10.6640625" defaultRowHeight="14.4"/>
  <cols>
    <col min="1" max="16384" width="10.6640625" style="5"/>
  </cols>
  <sheetData>
    <row r="1" spans="2:18">
      <c r="B1" s="5" t="s">
        <v>85</v>
      </c>
      <c r="C1" s="5" t="s">
        <v>84</v>
      </c>
      <c r="D1" s="5" t="s">
        <v>84</v>
      </c>
      <c r="E1" s="5" t="s">
        <v>84</v>
      </c>
      <c r="F1" s="5" t="s">
        <v>84</v>
      </c>
      <c r="G1" s="5" t="s">
        <v>155</v>
      </c>
    </row>
    <row r="2" spans="2:18">
      <c r="B2" s="5" t="s">
        <v>90</v>
      </c>
      <c r="C2" s="5" t="s">
        <v>30</v>
      </c>
      <c r="D2" s="5" t="s">
        <v>30</v>
      </c>
      <c r="E2" s="5" t="s">
        <v>30</v>
      </c>
      <c r="F2" s="6" t="s">
        <v>30</v>
      </c>
      <c r="G2" s="5" t="s">
        <v>153</v>
      </c>
      <c r="P2" s="7"/>
      <c r="R2" s="7"/>
    </row>
    <row r="3" spans="2:18">
      <c r="B3" s="5" t="s">
        <v>91</v>
      </c>
      <c r="C3" s="5" t="s">
        <v>13</v>
      </c>
      <c r="D3" s="5" t="s">
        <v>13</v>
      </c>
      <c r="E3" s="5" t="s">
        <v>13</v>
      </c>
      <c r="F3" s="5" t="s">
        <v>13</v>
      </c>
      <c r="G3" s="5" t="s">
        <v>156</v>
      </c>
      <c r="P3" s="7"/>
      <c r="R3" s="8"/>
    </row>
    <row r="4" spans="2:18">
      <c r="B4" s="5" t="s">
        <v>42</v>
      </c>
      <c r="C4" s="5" t="s">
        <v>66</v>
      </c>
      <c r="D4" s="5" t="s">
        <v>66</v>
      </c>
      <c r="E4" s="5" t="s">
        <v>66</v>
      </c>
      <c r="F4" s="5" t="s">
        <v>66</v>
      </c>
      <c r="G4" s="5" t="s">
        <v>157</v>
      </c>
      <c r="P4" s="7"/>
      <c r="R4" s="7"/>
    </row>
    <row r="5" spans="2:18">
      <c r="B5" s="5" t="s">
        <v>39</v>
      </c>
      <c r="C5" s="5" t="s">
        <v>120</v>
      </c>
      <c r="D5" s="5" t="s">
        <v>120</v>
      </c>
      <c r="E5" s="5" t="s">
        <v>120</v>
      </c>
      <c r="F5" s="5" t="s">
        <v>120</v>
      </c>
      <c r="G5" s="5" t="s">
        <v>158</v>
      </c>
      <c r="P5" s="7"/>
    </row>
    <row r="6" spans="2:18">
      <c r="B6" s="5" t="s">
        <v>52</v>
      </c>
      <c r="C6" s="5" t="s">
        <v>40</v>
      </c>
      <c r="D6" s="5" t="s">
        <v>40</v>
      </c>
      <c r="E6" s="5" t="s">
        <v>40</v>
      </c>
      <c r="F6" s="5" t="s">
        <v>40</v>
      </c>
      <c r="G6" s="5" t="s">
        <v>159</v>
      </c>
      <c r="P6" s="7"/>
      <c r="R6" s="8"/>
    </row>
    <row r="7" spans="2:18">
      <c r="B7" s="5" t="s">
        <v>51</v>
      </c>
      <c r="C7" s="5" t="s">
        <v>14</v>
      </c>
      <c r="D7" s="5" t="s">
        <v>14</v>
      </c>
      <c r="E7" s="5" t="s">
        <v>14</v>
      </c>
      <c r="F7" s="5" t="s">
        <v>14</v>
      </c>
      <c r="G7" s="5" t="s">
        <v>160</v>
      </c>
      <c r="P7" s="7"/>
      <c r="R7" s="8"/>
    </row>
    <row r="8" spans="2:18">
      <c r="B8" s="5" t="s">
        <v>87</v>
      </c>
      <c r="C8" s="5" t="s">
        <v>89</v>
      </c>
      <c r="D8" s="5" t="s">
        <v>89</v>
      </c>
      <c r="E8" s="5" t="s">
        <v>89</v>
      </c>
      <c r="F8" s="5" t="s">
        <v>89</v>
      </c>
      <c r="G8" s="5" t="s">
        <v>161</v>
      </c>
      <c r="P8" s="7"/>
      <c r="R8" s="7"/>
    </row>
    <row r="9" spans="2:18">
      <c r="B9" s="5" t="s">
        <v>92</v>
      </c>
      <c r="C9" s="5" t="s">
        <v>121</v>
      </c>
      <c r="D9" s="5" t="s">
        <v>121</v>
      </c>
      <c r="E9" s="5" t="s">
        <v>121</v>
      </c>
      <c r="F9" s="5" t="s">
        <v>121</v>
      </c>
      <c r="G9" s="5" t="s">
        <v>162</v>
      </c>
      <c r="P9" s="7"/>
      <c r="R9" s="8"/>
    </row>
    <row r="10" spans="2:18">
      <c r="B10" s="5" t="s">
        <v>93</v>
      </c>
      <c r="C10" s="5" t="s">
        <v>65</v>
      </c>
      <c r="D10" s="5" t="s">
        <v>65</v>
      </c>
      <c r="E10" s="5" t="s">
        <v>65</v>
      </c>
      <c r="F10" s="5" t="s">
        <v>65</v>
      </c>
      <c r="G10" s="5" t="s">
        <v>163</v>
      </c>
      <c r="P10" s="7"/>
      <c r="R10" s="7"/>
    </row>
    <row r="11" spans="2:18">
      <c r="B11" s="5" t="s">
        <v>94</v>
      </c>
      <c r="C11" s="5" t="s">
        <v>122</v>
      </c>
      <c r="D11" s="5" t="s">
        <v>122</v>
      </c>
      <c r="E11" s="5" t="s">
        <v>122</v>
      </c>
      <c r="F11" s="5" t="s">
        <v>122</v>
      </c>
      <c r="G11" s="5" t="s">
        <v>164</v>
      </c>
      <c r="P11" s="9"/>
    </row>
    <row r="12" spans="2:18">
      <c r="B12" s="5" t="s">
        <v>41</v>
      </c>
      <c r="C12" s="5" t="s">
        <v>15</v>
      </c>
      <c r="D12" s="5" t="s">
        <v>15</v>
      </c>
      <c r="E12" s="5" t="s">
        <v>15</v>
      </c>
      <c r="F12" s="5" t="s">
        <v>15</v>
      </c>
      <c r="G12" s="5" t="s">
        <v>165</v>
      </c>
      <c r="P12" s="9"/>
      <c r="R12" s="7"/>
    </row>
    <row r="13" spans="2:18">
      <c r="B13" s="5" t="s">
        <v>47</v>
      </c>
      <c r="C13" s="5" t="s">
        <v>31</v>
      </c>
      <c r="D13" s="5" t="s">
        <v>31</v>
      </c>
      <c r="E13" s="5" t="s">
        <v>31</v>
      </c>
      <c r="F13" s="5" t="s">
        <v>31</v>
      </c>
      <c r="G13" s="5" t="s">
        <v>166</v>
      </c>
      <c r="P13" s="10"/>
      <c r="R13" s="10"/>
    </row>
    <row r="14" spans="2:18">
      <c r="B14" s="5" t="s">
        <v>49</v>
      </c>
      <c r="C14" s="5" t="s">
        <v>68</v>
      </c>
      <c r="D14" s="5" t="s">
        <v>68</v>
      </c>
      <c r="E14" s="5" t="s">
        <v>68</v>
      </c>
      <c r="F14" s="5" t="s">
        <v>68</v>
      </c>
      <c r="G14" s="5" t="s">
        <v>167</v>
      </c>
      <c r="P14" s="10"/>
      <c r="R14" s="10"/>
    </row>
    <row r="15" spans="2:18">
      <c r="B15" s="5" t="s">
        <v>46</v>
      </c>
      <c r="C15" s="5" t="s">
        <v>16</v>
      </c>
      <c r="D15" s="5" t="s">
        <v>16</v>
      </c>
      <c r="E15" s="5" t="s">
        <v>16</v>
      </c>
      <c r="F15" s="5" t="s">
        <v>16</v>
      </c>
      <c r="G15" s="5" t="s">
        <v>168</v>
      </c>
      <c r="P15" s="10"/>
      <c r="R15" s="10"/>
    </row>
    <row r="16" spans="2:18">
      <c r="B16" s="5" t="s">
        <v>48</v>
      </c>
      <c r="C16" s="5" t="s">
        <v>17</v>
      </c>
      <c r="D16" s="5" t="s">
        <v>17</v>
      </c>
      <c r="E16" s="5" t="s">
        <v>17</v>
      </c>
      <c r="F16" s="5" t="s">
        <v>17</v>
      </c>
      <c r="G16" s="5" t="s">
        <v>169</v>
      </c>
      <c r="P16" s="10"/>
      <c r="R16" s="11"/>
    </row>
    <row r="17" spans="2:25">
      <c r="B17" s="5" t="s">
        <v>50</v>
      </c>
      <c r="C17" s="5" t="s">
        <v>69</v>
      </c>
      <c r="D17" s="5" t="s">
        <v>69</v>
      </c>
      <c r="E17" s="5" t="s">
        <v>69</v>
      </c>
      <c r="F17" s="5" t="s">
        <v>69</v>
      </c>
      <c r="G17" s="5" t="s">
        <v>170</v>
      </c>
      <c r="P17" s="10"/>
      <c r="R17" s="11"/>
    </row>
    <row r="18" spans="2:25">
      <c r="B18" s="5" t="s">
        <v>95</v>
      </c>
      <c r="C18" s="5" t="s">
        <v>70</v>
      </c>
      <c r="D18" s="5" t="s">
        <v>70</v>
      </c>
      <c r="E18" s="5" t="s">
        <v>70</v>
      </c>
      <c r="F18" s="5" t="s">
        <v>70</v>
      </c>
      <c r="G18" s="5" t="s">
        <v>171</v>
      </c>
      <c r="P18" s="10"/>
      <c r="R18" s="10"/>
    </row>
    <row r="19" spans="2:25">
      <c r="B19" s="5" t="s">
        <v>96</v>
      </c>
      <c r="C19" s="5" t="s">
        <v>0</v>
      </c>
      <c r="D19" s="5" t="s">
        <v>0</v>
      </c>
      <c r="E19" s="5" t="s">
        <v>0</v>
      </c>
      <c r="F19" s="5" t="s">
        <v>0</v>
      </c>
      <c r="G19" s="5" t="s">
        <v>172</v>
      </c>
      <c r="P19" s="10"/>
      <c r="R19" s="10"/>
    </row>
    <row r="20" spans="2:25">
      <c r="B20" s="5" t="s">
        <v>97</v>
      </c>
      <c r="C20" s="5" t="s">
        <v>18</v>
      </c>
      <c r="D20" s="5" t="s">
        <v>18</v>
      </c>
      <c r="E20" s="5" t="s">
        <v>18</v>
      </c>
      <c r="F20" s="5" t="s">
        <v>18</v>
      </c>
      <c r="G20" s="5" t="s">
        <v>173</v>
      </c>
      <c r="P20" s="10"/>
      <c r="R20" s="10"/>
    </row>
    <row r="21" spans="2:25">
      <c r="B21" s="5" t="s">
        <v>11</v>
      </c>
      <c r="C21" s="5" t="s">
        <v>71</v>
      </c>
      <c r="D21" s="5" t="s">
        <v>71</v>
      </c>
      <c r="E21" s="5" t="s">
        <v>71</v>
      </c>
      <c r="F21" s="5" t="s">
        <v>71</v>
      </c>
      <c r="G21" s="5" t="s">
        <v>174</v>
      </c>
      <c r="P21" s="8"/>
      <c r="R21" s="8"/>
    </row>
    <row r="22" spans="2:25">
      <c r="B22" s="5" t="s">
        <v>12</v>
      </c>
      <c r="C22" s="5" t="s">
        <v>19</v>
      </c>
      <c r="D22" s="5" t="s">
        <v>19</v>
      </c>
      <c r="E22" s="5" t="s">
        <v>19</v>
      </c>
      <c r="F22" s="5" t="s">
        <v>19</v>
      </c>
      <c r="G22" s="5" t="s">
        <v>175</v>
      </c>
      <c r="P22" s="7"/>
      <c r="R22" s="8"/>
    </row>
    <row r="23" spans="2:25">
      <c r="B23" s="5" t="s">
        <v>10</v>
      </c>
      <c r="C23" s="5" t="s">
        <v>123</v>
      </c>
      <c r="D23" s="5" t="s">
        <v>123</v>
      </c>
      <c r="E23" s="5" t="s">
        <v>123</v>
      </c>
      <c r="F23" s="5" t="s">
        <v>123</v>
      </c>
      <c r="G23" s="5" t="s">
        <v>176</v>
      </c>
      <c r="P23" s="7"/>
      <c r="R23" s="7"/>
    </row>
    <row r="24" spans="2:25">
      <c r="B24" s="5" t="s">
        <v>98</v>
      </c>
      <c r="C24" s="5" t="s">
        <v>20</v>
      </c>
      <c r="D24" s="5" t="s">
        <v>20</v>
      </c>
      <c r="E24" s="5" t="s">
        <v>20</v>
      </c>
      <c r="F24" s="5" t="s">
        <v>20</v>
      </c>
      <c r="G24" s="5" t="s">
        <v>177</v>
      </c>
      <c r="P24" s="7"/>
      <c r="R24" s="7"/>
    </row>
    <row r="25" spans="2:25">
      <c r="B25" s="5" t="s">
        <v>83</v>
      </c>
      <c r="C25" s="5" t="s">
        <v>73</v>
      </c>
      <c r="D25" s="5" t="s">
        <v>73</v>
      </c>
      <c r="E25" s="5" t="s">
        <v>73</v>
      </c>
      <c r="F25" s="5" t="s">
        <v>73</v>
      </c>
      <c r="G25" s="5" t="s">
        <v>178</v>
      </c>
      <c r="P25" s="7"/>
      <c r="R25" s="7"/>
    </row>
    <row r="26" spans="2:25">
      <c r="B26" s="5" t="s">
        <v>99</v>
      </c>
      <c r="C26" s="5" t="s">
        <v>74</v>
      </c>
      <c r="D26" s="5" t="s">
        <v>74</v>
      </c>
      <c r="E26" s="5" t="s">
        <v>74</v>
      </c>
      <c r="F26" s="5" t="s">
        <v>74</v>
      </c>
      <c r="G26" s="5" t="s">
        <v>179</v>
      </c>
      <c r="P26" s="7"/>
      <c r="R26" s="7"/>
      <c r="V26" s="12"/>
    </row>
    <row r="27" spans="2:25">
      <c r="B27" s="5" t="s">
        <v>6</v>
      </c>
      <c r="C27" s="5" t="s">
        <v>124</v>
      </c>
      <c r="D27" s="5" t="s">
        <v>124</v>
      </c>
      <c r="E27" s="5" t="s">
        <v>124</v>
      </c>
      <c r="F27" s="5" t="s">
        <v>124</v>
      </c>
      <c r="G27" s="5" t="s">
        <v>180</v>
      </c>
      <c r="P27" s="7"/>
      <c r="R27" s="7"/>
      <c r="V27" s="12"/>
      <c r="Y27" s="12"/>
    </row>
    <row r="28" spans="2:25">
      <c r="B28" s="5" t="s">
        <v>3</v>
      </c>
      <c r="C28" s="5" t="s">
        <v>21</v>
      </c>
      <c r="D28" s="5" t="s">
        <v>21</v>
      </c>
      <c r="E28" s="5" t="s">
        <v>21</v>
      </c>
      <c r="F28" s="5" t="s">
        <v>21</v>
      </c>
      <c r="G28" s="5" t="s">
        <v>181</v>
      </c>
      <c r="P28" s="7"/>
      <c r="R28" s="7"/>
    </row>
    <row r="29" spans="2:25">
      <c r="B29" s="5" t="s">
        <v>100</v>
      </c>
      <c r="C29" s="5" t="s">
        <v>125</v>
      </c>
      <c r="D29" s="5" t="s">
        <v>125</v>
      </c>
      <c r="E29" s="5" t="s">
        <v>125</v>
      </c>
      <c r="F29" s="5" t="s">
        <v>125</v>
      </c>
      <c r="G29" s="5" t="s">
        <v>182</v>
      </c>
      <c r="P29" s="7"/>
      <c r="R29" s="7"/>
    </row>
    <row r="30" spans="2:25">
      <c r="B30" s="5" t="s">
        <v>5</v>
      </c>
      <c r="C30" s="5" t="s">
        <v>72</v>
      </c>
      <c r="D30" s="5" t="s">
        <v>72</v>
      </c>
      <c r="E30" s="5" t="s">
        <v>72</v>
      </c>
      <c r="F30" s="5" t="s">
        <v>72</v>
      </c>
      <c r="G30" s="5" t="s">
        <v>183</v>
      </c>
      <c r="P30" s="7"/>
      <c r="R30" s="7"/>
    </row>
    <row r="31" spans="2:25">
      <c r="B31" s="5" t="s">
        <v>7</v>
      </c>
      <c r="C31" s="5" t="s">
        <v>126</v>
      </c>
      <c r="D31" s="5" t="s">
        <v>126</v>
      </c>
      <c r="E31" s="5" t="s">
        <v>126</v>
      </c>
      <c r="F31" s="5" t="s">
        <v>126</v>
      </c>
      <c r="G31" s="5" t="s">
        <v>184</v>
      </c>
      <c r="P31" s="7"/>
      <c r="R31" s="7"/>
    </row>
    <row r="32" spans="2:25">
      <c r="B32" s="5" t="s">
        <v>101</v>
      </c>
      <c r="C32" s="5" t="s">
        <v>127</v>
      </c>
      <c r="D32" s="5" t="s">
        <v>127</v>
      </c>
      <c r="E32" s="5" t="s">
        <v>127</v>
      </c>
      <c r="F32" s="5" t="s">
        <v>127</v>
      </c>
      <c r="G32" s="5" t="s">
        <v>185</v>
      </c>
      <c r="P32" s="7"/>
      <c r="R32" s="7"/>
    </row>
    <row r="33" spans="2:18">
      <c r="B33" s="5" t="s">
        <v>102</v>
      </c>
      <c r="C33" s="5" t="s">
        <v>22</v>
      </c>
      <c r="D33" s="5" t="s">
        <v>22</v>
      </c>
      <c r="E33" s="5" t="s">
        <v>22</v>
      </c>
      <c r="F33" s="5" t="s">
        <v>22</v>
      </c>
      <c r="G33" s="5" t="s">
        <v>186</v>
      </c>
      <c r="P33" s="7"/>
      <c r="R33" s="8"/>
    </row>
    <row r="34" spans="2:18">
      <c r="B34" s="5" t="s">
        <v>44</v>
      </c>
      <c r="C34" s="5" t="s">
        <v>76</v>
      </c>
      <c r="D34" s="5" t="s">
        <v>76</v>
      </c>
      <c r="E34" s="5" t="s">
        <v>76</v>
      </c>
      <c r="F34" s="5" t="s">
        <v>76</v>
      </c>
      <c r="G34" s="5" t="s">
        <v>187</v>
      </c>
      <c r="P34" s="7"/>
      <c r="R34" s="8"/>
    </row>
    <row r="35" spans="2:18">
      <c r="B35" s="5" t="s">
        <v>45</v>
      </c>
      <c r="C35" s="5" t="s">
        <v>128</v>
      </c>
      <c r="D35" s="5" t="s">
        <v>128</v>
      </c>
      <c r="E35" s="5" t="s">
        <v>128</v>
      </c>
      <c r="F35" s="5" t="s">
        <v>128</v>
      </c>
      <c r="G35" s="5" t="s">
        <v>188</v>
      </c>
      <c r="P35" s="7"/>
      <c r="R35" s="8"/>
    </row>
    <row r="36" spans="2:18">
      <c r="B36" s="5" t="s">
        <v>103</v>
      </c>
      <c r="C36" s="5" t="s">
        <v>129</v>
      </c>
      <c r="D36" s="5" t="s">
        <v>129</v>
      </c>
      <c r="E36" s="5" t="s">
        <v>129</v>
      </c>
      <c r="F36" s="5" t="s">
        <v>129</v>
      </c>
      <c r="G36" s="5" t="s">
        <v>189</v>
      </c>
      <c r="P36" s="7"/>
      <c r="R36" s="8"/>
    </row>
    <row r="37" spans="2:18">
      <c r="B37" s="5" t="s">
        <v>104</v>
      </c>
      <c r="C37" s="5" t="s">
        <v>130</v>
      </c>
      <c r="D37" s="5" t="s">
        <v>130</v>
      </c>
      <c r="E37" s="5" t="s">
        <v>130</v>
      </c>
      <c r="F37" s="13" t="s">
        <v>130</v>
      </c>
      <c r="G37" s="5" t="s">
        <v>190</v>
      </c>
      <c r="P37" s="7"/>
      <c r="R37" s="8"/>
    </row>
    <row r="38" spans="2:18">
      <c r="B38" s="5" t="s">
        <v>43</v>
      </c>
      <c r="C38" s="5" t="s">
        <v>75</v>
      </c>
      <c r="D38" s="5" t="s">
        <v>75</v>
      </c>
      <c r="E38" s="5" t="s">
        <v>75</v>
      </c>
      <c r="F38" s="5" t="s">
        <v>75</v>
      </c>
      <c r="G38" s="5" t="s">
        <v>191</v>
      </c>
      <c r="P38" s="9"/>
      <c r="R38" s="9"/>
    </row>
    <row r="39" spans="2:18">
      <c r="B39" s="5" t="s">
        <v>105</v>
      </c>
      <c r="C39" s="5" t="s">
        <v>131</v>
      </c>
      <c r="D39" s="5" t="s">
        <v>131</v>
      </c>
      <c r="E39" s="5" t="s">
        <v>131</v>
      </c>
      <c r="F39" s="5" t="s">
        <v>131</v>
      </c>
      <c r="G39" s="5" t="s">
        <v>192</v>
      </c>
      <c r="P39" s="9"/>
      <c r="R39" s="9"/>
    </row>
    <row r="40" spans="2:18">
      <c r="B40" s="5" t="s">
        <v>58</v>
      </c>
      <c r="C40" s="5" t="s">
        <v>132</v>
      </c>
      <c r="D40" s="5" t="s">
        <v>132</v>
      </c>
      <c r="E40" s="5" t="s">
        <v>132</v>
      </c>
      <c r="F40" s="5" t="s">
        <v>132</v>
      </c>
      <c r="G40" s="5" t="s">
        <v>193</v>
      </c>
      <c r="P40" s="7"/>
      <c r="R40" s="9"/>
    </row>
    <row r="41" spans="2:18">
      <c r="B41" s="5" t="s">
        <v>56</v>
      </c>
      <c r="C41" s="5" t="s">
        <v>78</v>
      </c>
      <c r="D41" s="5" t="s">
        <v>78</v>
      </c>
      <c r="E41" s="5" t="s">
        <v>78</v>
      </c>
      <c r="F41" s="5" t="s">
        <v>78</v>
      </c>
      <c r="G41" s="5" t="s">
        <v>194</v>
      </c>
      <c r="P41" s="7"/>
      <c r="R41" s="9"/>
    </row>
    <row r="42" spans="2:18">
      <c r="B42" s="5" t="s">
        <v>37</v>
      </c>
      <c r="C42" s="5" t="s">
        <v>77</v>
      </c>
      <c r="D42" s="5" t="s">
        <v>77</v>
      </c>
      <c r="E42" s="5" t="s">
        <v>77</v>
      </c>
      <c r="F42" s="5" t="s">
        <v>77</v>
      </c>
      <c r="G42" s="5" t="s">
        <v>195</v>
      </c>
      <c r="P42" s="7"/>
      <c r="R42" s="9"/>
    </row>
    <row r="43" spans="2:18">
      <c r="B43" s="5" t="s">
        <v>88</v>
      </c>
      <c r="C43" s="5" t="s">
        <v>23</v>
      </c>
      <c r="D43" s="5" t="s">
        <v>23</v>
      </c>
      <c r="E43" s="5" t="s">
        <v>23</v>
      </c>
      <c r="F43" s="5" t="s">
        <v>23</v>
      </c>
      <c r="G43" s="5" t="s">
        <v>196</v>
      </c>
      <c r="P43" s="7"/>
      <c r="R43" s="9"/>
    </row>
    <row r="44" spans="2:18">
      <c r="B44" s="5" t="s">
        <v>59</v>
      </c>
      <c r="C44" s="5" t="s">
        <v>24</v>
      </c>
      <c r="D44" s="5" t="s">
        <v>24</v>
      </c>
      <c r="E44" s="5" t="s">
        <v>24</v>
      </c>
      <c r="F44" s="5" t="s">
        <v>24</v>
      </c>
      <c r="G44" s="5" t="s">
        <v>197</v>
      </c>
      <c r="P44" s="7"/>
      <c r="R44" s="9"/>
    </row>
    <row r="45" spans="2:18">
      <c r="B45" s="5" t="s">
        <v>57</v>
      </c>
      <c r="C45" s="5" t="s">
        <v>79</v>
      </c>
      <c r="D45" s="5" t="s">
        <v>79</v>
      </c>
      <c r="E45" s="5" t="s">
        <v>79</v>
      </c>
      <c r="F45" s="5" t="s">
        <v>79</v>
      </c>
      <c r="G45" s="5" t="s">
        <v>198</v>
      </c>
      <c r="P45" s="7"/>
      <c r="R45" s="9"/>
    </row>
    <row r="46" spans="2:18">
      <c r="B46" s="5" t="s">
        <v>36</v>
      </c>
      <c r="C46" s="5" t="s">
        <v>25</v>
      </c>
      <c r="D46" s="5" t="s">
        <v>25</v>
      </c>
      <c r="E46" s="5" t="s">
        <v>25</v>
      </c>
      <c r="F46" s="5" t="s">
        <v>25</v>
      </c>
      <c r="G46" s="5" t="s">
        <v>199</v>
      </c>
      <c r="P46" s="7"/>
      <c r="R46" s="9"/>
    </row>
    <row r="47" spans="2:18">
      <c r="B47" s="5" t="s">
        <v>106</v>
      </c>
      <c r="C47" s="5" t="s">
        <v>26</v>
      </c>
      <c r="D47" s="5" t="s">
        <v>26</v>
      </c>
      <c r="E47" s="5" t="s">
        <v>26</v>
      </c>
      <c r="F47" s="5" t="s">
        <v>26</v>
      </c>
      <c r="G47" s="5" t="s">
        <v>200</v>
      </c>
      <c r="P47" s="7"/>
      <c r="R47" s="9"/>
    </row>
    <row r="48" spans="2:18">
      <c r="B48" s="5" t="s">
        <v>64</v>
      </c>
      <c r="C48" s="5" t="s">
        <v>133</v>
      </c>
      <c r="D48" s="5" t="s">
        <v>133</v>
      </c>
      <c r="E48" s="5" t="s">
        <v>133</v>
      </c>
      <c r="F48" s="5" t="s">
        <v>133</v>
      </c>
      <c r="G48" s="5" t="s">
        <v>201</v>
      </c>
      <c r="P48" s="7"/>
      <c r="R48" s="9"/>
    </row>
    <row r="49" spans="2:18">
      <c r="B49" s="5" t="s">
        <v>107</v>
      </c>
      <c r="C49" s="5" t="s">
        <v>134</v>
      </c>
      <c r="D49" s="5" t="s">
        <v>134</v>
      </c>
      <c r="E49" s="5" t="s">
        <v>134</v>
      </c>
      <c r="F49" s="5" t="s">
        <v>134</v>
      </c>
      <c r="G49" s="5" t="s">
        <v>202</v>
      </c>
      <c r="P49" s="7"/>
      <c r="R49" s="9"/>
    </row>
    <row r="50" spans="2:18">
      <c r="B50" s="5" t="s">
        <v>108</v>
      </c>
      <c r="C50" s="5" t="s">
        <v>135</v>
      </c>
      <c r="D50" s="5" t="s">
        <v>135</v>
      </c>
      <c r="E50" s="5" t="s">
        <v>135</v>
      </c>
      <c r="F50" s="5" t="s">
        <v>135</v>
      </c>
      <c r="G50" s="5" t="s">
        <v>203</v>
      </c>
      <c r="P50" s="7"/>
      <c r="R50" s="9"/>
    </row>
    <row r="51" spans="2:18">
      <c r="B51" s="5" t="s">
        <v>60</v>
      </c>
      <c r="C51" s="5" t="s">
        <v>136</v>
      </c>
      <c r="D51" s="5" t="s">
        <v>136</v>
      </c>
      <c r="E51" s="5" t="s">
        <v>136</v>
      </c>
      <c r="F51" s="5" t="s">
        <v>136</v>
      </c>
      <c r="G51" s="5" t="s">
        <v>204</v>
      </c>
      <c r="P51" s="7"/>
      <c r="R51" s="9"/>
    </row>
    <row r="52" spans="2:18">
      <c r="B52" s="5" t="s">
        <v>61</v>
      </c>
      <c r="C52" s="5" t="s">
        <v>137</v>
      </c>
      <c r="D52" s="5" t="s">
        <v>137</v>
      </c>
      <c r="E52" s="5" t="s">
        <v>137</v>
      </c>
      <c r="F52" s="5" t="s">
        <v>137</v>
      </c>
      <c r="G52" s="5" t="s">
        <v>205</v>
      </c>
      <c r="P52" s="7"/>
      <c r="R52" s="7"/>
    </row>
    <row r="53" spans="2:18">
      <c r="B53" s="5" t="s">
        <v>62</v>
      </c>
      <c r="C53" s="5" t="s">
        <v>138</v>
      </c>
      <c r="D53" s="5" t="s">
        <v>138</v>
      </c>
      <c r="E53" s="5" t="s">
        <v>138</v>
      </c>
      <c r="F53" s="5" t="s">
        <v>138</v>
      </c>
      <c r="G53" s="5" t="s">
        <v>206</v>
      </c>
      <c r="P53" s="7"/>
      <c r="R53" s="7"/>
    </row>
    <row r="54" spans="2:18">
      <c r="B54" s="5" t="s">
        <v>63</v>
      </c>
      <c r="C54" s="5" t="s">
        <v>139</v>
      </c>
      <c r="D54" s="5" t="s">
        <v>139</v>
      </c>
      <c r="E54" s="5" t="s">
        <v>139</v>
      </c>
      <c r="F54" s="5" t="s">
        <v>139</v>
      </c>
      <c r="G54" s="5" t="s">
        <v>207</v>
      </c>
      <c r="P54" s="7"/>
      <c r="R54" s="7"/>
    </row>
    <row r="55" spans="2:18">
      <c r="B55" s="5" t="s">
        <v>80</v>
      </c>
      <c r="C55" s="5" t="s">
        <v>140</v>
      </c>
      <c r="D55" s="5" t="s">
        <v>140</v>
      </c>
      <c r="E55" s="5" t="s">
        <v>140</v>
      </c>
      <c r="F55" s="5" t="s">
        <v>140</v>
      </c>
      <c r="G55" s="5" t="s">
        <v>208</v>
      </c>
      <c r="P55" s="7"/>
      <c r="R55" s="7"/>
    </row>
    <row r="56" spans="2:18">
      <c r="B56" s="5" t="s">
        <v>82</v>
      </c>
      <c r="C56" s="5" t="s">
        <v>141</v>
      </c>
      <c r="D56" s="5" t="s">
        <v>141</v>
      </c>
      <c r="E56" s="5" t="s">
        <v>141</v>
      </c>
      <c r="F56" s="5" t="s">
        <v>141</v>
      </c>
      <c r="G56" s="5" t="s">
        <v>209</v>
      </c>
      <c r="P56" s="7"/>
      <c r="R56" s="7"/>
    </row>
    <row r="57" spans="2:18">
      <c r="B57" s="5" t="s">
        <v>81</v>
      </c>
      <c r="C57" s="5" t="s">
        <v>142</v>
      </c>
      <c r="D57" s="5" t="s">
        <v>142</v>
      </c>
      <c r="E57" s="5" t="s">
        <v>142</v>
      </c>
      <c r="F57" s="5" t="s">
        <v>142</v>
      </c>
      <c r="P57" s="7"/>
      <c r="R57" s="7"/>
    </row>
    <row r="58" spans="2:18">
      <c r="B58" s="5" t="s">
        <v>33</v>
      </c>
      <c r="C58" s="5" t="s">
        <v>143</v>
      </c>
      <c r="D58" s="5" t="s">
        <v>143</v>
      </c>
      <c r="E58" s="5" t="s">
        <v>143</v>
      </c>
      <c r="F58" s="5" t="s">
        <v>143</v>
      </c>
      <c r="P58" s="7"/>
      <c r="R58" s="7"/>
    </row>
    <row r="59" spans="2:18">
      <c r="B59" s="5" t="s">
        <v>109</v>
      </c>
      <c r="C59" s="5" t="s">
        <v>144</v>
      </c>
      <c r="D59" s="5" t="s">
        <v>144</v>
      </c>
      <c r="E59" s="5" t="s">
        <v>144</v>
      </c>
      <c r="F59" s="5" t="s">
        <v>144</v>
      </c>
      <c r="P59" s="7"/>
      <c r="R59" s="7"/>
    </row>
    <row r="60" spans="2:18">
      <c r="B60" s="5" t="s">
        <v>35</v>
      </c>
      <c r="C60" s="5" t="s">
        <v>145</v>
      </c>
      <c r="D60" s="5" t="s">
        <v>145</v>
      </c>
      <c r="E60" s="5" t="s">
        <v>145</v>
      </c>
      <c r="F60" s="5" t="s">
        <v>145</v>
      </c>
      <c r="P60" s="7"/>
      <c r="R60" s="7"/>
    </row>
    <row r="61" spans="2:18">
      <c r="B61" s="5" t="s">
        <v>54</v>
      </c>
      <c r="C61" s="5" t="s">
        <v>146</v>
      </c>
      <c r="D61" s="5" t="s">
        <v>146</v>
      </c>
      <c r="E61" s="5" t="s">
        <v>146</v>
      </c>
      <c r="F61" s="5" t="s">
        <v>146</v>
      </c>
      <c r="P61" s="7"/>
      <c r="R61" s="7"/>
    </row>
    <row r="62" spans="2:18">
      <c r="B62" s="5" t="s">
        <v>34</v>
      </c>
      <c r="C62" s="5" t="s">
        <v>147</v>
      </c>
      <c r="D62" s="5" t="s">
        <v>147</v>
      </c>
      <c r="E62" s="5" t="s">
        <v>147</v>
      </c>
      <c r="F62" s="5" t="s">
        <v>147</v>
      </c>
      <c r="P62" s="7"/>
    </row>
    <row r="63" spans="2:18">
      <c r="B63" s="5" t="s">
        <v>55</v>
      </c>
      <c r="C63" s="5" t="s">
        <v>148</v>
      </c>
      <c r="D63" s="5" t="s">
        <v>148</v>
      </c>
      <c r="E63" s="5" t="s">
        <v>148</v>
      </c>
      <c r="F63" s="5" t="s">
        <v>148</v>
      </c>
      <c r="P63" s="11"/>
    </row>
    <row r="64" spans="2:18">
      <c r="B64" s="5" t="s">
        <v>110</v>
      </c>
      <c r="C64" s="5" t="s">
        <v>27</v>
      </c>
      <c r="D64" s="5" t="s">
        <v>27</v>
      </c>
      <c r="E64" s="5" t="s">
        <v>27</v>
      </c>
      <c r="F64" s="5" t="s">
        <v>27</v>
      </c>
      <c r="P64" s="11"/>
    </row>
    <row r="65" spans="2:16">
      <c r="B65" s="5" t="s">
        <v>38</v>
      </c>
      <c r="C65" s="5" t="s">
        <v>149</v>
      </c>
      <c r="D65" s="5" t="s">
        <v>149</v>
      </c>
      <c r="E65" s="5" t="s">
        <v>149</v>
      </c>
      <c r="F65" s="5" t="s">
        <v>149</v>
      </c>
      <c r="P65" s="11"/>
    </row>
    <row r="66" spans="2:16">
      <c r="B66" s="5" t="s">
        <v>111</v>
      </c>
      <c r="C66" s="5" t="s">
        <v>150</v>
      </c>
      <c r="D66" s="5" t="s">
        <v>150</v>
      </c>
      <c r="E66" s="5" t="s">
        <v>150</v>
      </c>
      <c r="F66" s="5" t="s">
        <v>150</v>
      </c>
    </row>
    <row r="67" spans="2:16">
      <c r="B67" s="5" t="s">
        <v>112</v>
      </c>
      <c r="C67" s="5" t="s">
        <v>151</v>
      </c>
      <c r="D67" s="5" t="s">
        <v>151</v>
      </c>
      <c r="E67" s="5" t="s">
        <v>151</v>
      </c>
      <c r="F67" s="5" t="s">
        <v>151</v>
      </c>
    </row>
    <row r="68" spans="2:16">
      <c r="B68" s="5" t="s">
        <v>113</v>
      </c>
      <c r="C68" s="5" t="s">
        <v>1</v>
      </c>
      <c r="D68" s="5" t="s">
        <v>1</v>
      </c>
      <c r="E68" s="5" t="s">
        <v>1</v>
      </c>
      <c r="F68" s="5" t="s">
        <v>1</v>
      </c>
    </row>
    <row r="69" spans="2:16">
      <c r="B69" s="5" t="s">
        <v>114</v>
      </c>
      <c r="C69" s="5" t="s">
        <v>152</v>
      </c>
      <c r="D69" s="5" t="s">
        <v>152</v>
      </c>
      <c r="E69" s="5" t="s">
        <v>152</v>
      </c>
      <c r="F69" s="5" t="s">
        <v>152</v>
      </c>
    </row>
    <row r="70" spans="2:16">
      <c r="B70" s="5" t="s">
        <v>115</v>
      </c>
      <c r="C70" s="5" t="s">
        <v>67</v>
      </c>
      <c r="D70" s="5" t="s">
        <v>67</v>
      </c>
      <c r="E70" s="5" t="s">
        <v>67</v>
      </c>
      <c r="F70" s="5" t="s">
        <v>67</v>
      </c>
    </row>
    <row r="71" spans="2:16">
      <c r="B71" s="5" t="s">
        <v>8</v>
      </c>
      <c r="C71" s="5" t="s">
        <v>28</v>
      </c>
      <c r="D71" s="5" t="s">
        <v>28</v>
      </c>
      <c r="E71" s="5" t="s">
        <v>28</v>
      </c>
      <c r="F71" s="5" t="s">
        <v>28</v>
      </c>
    </row>
    <row r="72" spans="2:16">
      <c r="B72" s="5" t="s">
        <v>9</v>
      </c>
    </row>
    <row r="73" spans="2:16">
      <c r="B73" s="5" t="s">
        <v>4</v>
      </c>
    </row>
    <row r="74" spans="2:16">
      <c r="B74" s="5" t="s">
        <v>53</v>
      </c>
    </row>
    <row r="75" spans="2:16">
      <c r="B75" s="5" t="s">
        <v>116</v>
      </c>
    </row>
    <row r="76" spans="2:16">
      <c r="B76" s="5" t="s">
        <v>117</v>
      </c>
    </row>
    <row r="77" spans="2:16">
      <c r="B77" s="5" t="s">
        <v>118</v>
      </c>
    </row>
    <row r="78" spans="2:16">
      <c r="B78" s="5" t="s">
        <v>119</v>
      </c>
    </row>
  </sheetData>
  <pageMargins left="0.7" right="0.7" top="0.75" bottom="0.75" header="0.3" footer="0.3"/>
  <pageSetup paperSize="9" orientation="portrait" r:id="rId1"/>
  <headerFooter>
    <oddFooter>&amp;C_x000D_&amp;1#&amp;"Calibri"&amp;10&amp;K000000 Public Information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esetFX">
                <anchor moveWithCells="1" sizeWithCells="1">
                  <from>
                    <xdr:col>8</xdr:col>
                    <xdr:colOff>0</xdr:colOff>
                    <xdr:row>1</xdr:row>
                    <xdr:rowOff>0</xdr:rowOff>
                  </from>
                  <to>
                    <xdr:col>9</xdr:col>
                    <xdr:colOff>457200</xdr:colOff>
                    <xdr:row>2</xdr:row>
                    <xdr:rowOff>106680</xdr:rowOff>
                  </to>
                </anchor>
              </controlPr>
            </control>
          </mc:Choice>
        </mc:AlternateContent>
        <mc:AlternateContent xmlns:mc="http://schemas.openxmlformats.org/markup-compatibility/2006">
          <mc:Choice Requires="x14">
            <control shapeId="78850" r:id="rId5" name="Button 2">
              <controlPr defaultSize="0" print="0" autoFill="0" autoPict="0" macro="[0]!resetSwap">
                <anchor moveWithCells="1" sizeWithCells="1">
                  <from>
                    <xdr:col>8</xdr:col>
                    <xdr:colOff>0</xdr:colOff>
                    <xdr:row>4</xdr:row>
                    <xdr:rowOff>121920</xdr:rowOff>
                  </from>
                  <to>
                    <xdr:col>9</xdr:col>
                    <xdr:colOff>457200</xdr:colOff>
                    <xdr:row>6</xdr:row>
                    <xdr:rowOff>38100</xdr:rowOff>
                  </to>
                </anchor>
              </controlPr>
            </control>
          </mc:Choice>
        </mc:AlternateContent>
        <mc:AlternateContent xmlns:mc="http://schemas.openxmlformats.org/markup-compatibility/2006">
          <mc:Choice Requires="x14">
            <control shapeId="78851" r:id="rId6" name="Button 3">
              <controlPr defaultSize="0" print="0" autoFill="0" autoPict="0" macro="[0]!resetComdty">
                <anchor moveWithCells="1" sizeWithCells="1">
                  <from>
                    <xdr:col>8</xdr:col>
                    <xdr:colOff>0</xdr:colOff>
                    <xdr:row>8</xdr:row>
                    <xdr:rowOff>68580</xdr:rowOff>
                  </from>
                  <to>
                    <xdr:col>9</xdr:col>
                    <xdr:colOff>457200</xdr:colOff>
                    <xdr:row>9</xdr:row>
                    <xdr:rowOff>175260</xdr:rowOff>
                  </to>
                </anchor>
              </controlPr>
            </control>
          </mc:Choice>
        </mc:AlternateContent>
        <mc:AlternateContent xmlns:mc="http://schemas.openxmlformats.org/markup-compatibility/2006">
          <mc:Choice Requires="x14">
            <control shapeId="78852" r:id="rId7" name="Button 4">
              <controlPr defaultSize="0" print="0" autoFill="0" autoPict="0" macro="[0]!resetEquity">
                <anchor moveWithCells="1" sizeWithCells="1">
                  <from>
                    <xdr:col>8</xdr:col>
                    <xdr:colOff>0</xdr:colOff>
                    <xdr:row>12</xdr:row>
                    <xdr:rowOff>0</xdr:rowOff>
                  </from>
                  <to>
                    <xdr:col>9</xdr:col>
                    <xdr:colOff>457200</xdr:colOff>
                    <xdr:row>13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theme="0" tint="-0.249977111117893"/>
  </sheetPr>
  <dimension ref="A1:AD5"/>
  <sheetViews>
    <sheetView zoomScale="90" zoomScaleNormal="90" workbookViewId="0">
      <selection activeCell="E4" sqref="E4"/>
    </sheetView>
  </sheetViews>
  <sheetFormatPr defaultRowHeight="14.4"/>
  <cols>
    <col min="1" max="1" width="11.5546875" bestFit="1" customWidth="1"/>
  </cols>
  <sheetData>
    <row r="1" spans="1:30">
      <c r="A1" s="2" t="s">
        <v>283</v>
      </c>
    </row>
    <row r="3" spans="1:30">
      <c r="A3" s="20" t="s">
        <v>253</v>
      </c>
      <c r="B3" s="20" t="s">
        <v>254</v>
      </c>
      <c r="C3" s="20" t="s">
        <v>255</v>
      </c>
      <c r="D3" s="20" t="s">
        <v>256</v>
      </c>
      <c r="E3" s="20" t="s">
        <v>257</v>
      </c>
      <c r="F3" s="20" t="s">
        <v>258</v>
      </c>
      <c r="G3" s="20" t="s">
        <v>259</v>
      </c>
      <c r="H3" s="20" t="s">
        <v>260</v>
      </c>
      <c r="I3" s="20" t="s">
        <v>261</v>
      </c>
      <c r="J3" s="20" t="s">
        <v>262</v>
      </c>
      <c r="K3" s="20" t="s">
        <v>263</v>
      </c>
      <c r="L3" s="20" t="s">
        <v>264</v>
      </c>
      <c r="M3" s="20" t="s">
        <v>265</v>
      </c>
      <c r="N3" s="20" t="s">
        <v>266</v>
      </c>
      <c r="O3" s="20" t="s">
        <v>267</v>
      </c>
      <c r="P3" s="20" t="s">
        <v>268</v>
      </c>
      <c r="Q3" s="20" t="s">
        <v>269</v>
      </c>
      <c r="R3" s="20" t="s">
        <v>270</v>
      </c>
      <c r="S3" s="20" t="s">
        <v>271</v>
      </c>
      <c r="T3" s="20" t="s">
        <v>272</v>
      </c>
      <c r="U3" s="20" t="s">
        <v>273</v>
      </c>
      <c r="V3" s="20" t="s">
        <v>274</v>
      </c>
      <c r="W3" s="20" t="s">
        <v>275</v>
      </c>
      <c r="X3" s="20" t="s">
        <v>276</v>
      </c>
      <c r="Y3" s="20" t="s">
        <v>277</v>
      </c>
      <c r="Z3" s="20" t="s">
        <v>278</v>
      </c>
      <c r="AA3" s="20" t="s">
        <v>279</v>
      </c>
      <c r="AB3" s="20" t="s">
        <v>280</v>
      </c>
      <c r="AC3" s="20" t="s">
        <v>281</v>
      </c>
      <c r="AD3" s="20" t="s">
        <v>282</v>
      </c>
    </row>
    <row r="4" spans="1:30">
      <c r="A4" s="21">
        <f>_xll.BDP(A$3,$A$1)</f>
        <v>3.5364</v>
      </c>
      <c r="B4" s="21">
        <f>_xll.BDP(B$3,$A$1)</f>
        <v>3.214</v>
      </c>
      <c r="C4" s="21">
        <f>_xll.BDP(C$3,$A$1)</f>
        <v>3.0459999999999998</v>
      </c>
      <c r="D4" s="21">
        <f>_xll.BDP(D$3,$A$1)</f>
        <v>2.95</v>
      </c>
      <c r="E4" s="21">
        <f>_xll.BDP(E$3,$A$1)</f>
        <v>2.8950999999999998</v>
      </c>
      <c r="F4" s="21">
        <f>_xll.BDP(F$3,$A$1)</f>
        <v>2.8666999999999998</v>
      </c>
      <c r="G4" s="21">
        <f>_xll.BDP(G$3,$A$1)</f>
        <v>2.8523000000000001</v>
      </c>
      <c r="H4" s="21">
        <f>_xll.BDP(H$3,$A$1)</f>
        <v>2.8496000000000001</v>
      </c>
      <c r="I4" s="21">
        <f>_xll.BDP(I$3,$A$1)</f>
        <v>2.8525</v>
      </c>
      <c r="J4" s="21">
        <f>_xll.BDP(J$3,$A$1)</f>
        <v>2.8593000000000002</v>
      </c>
      <c r="K4" s="21">
        <f>_xll.BDP(K$3,$A$1)</f>
        <v>2.8673000000000002</v>
      </c>
      <c r="L4" s="21">
        <f>_xll.BDP(L$3,$A$1)</f>
        <v>2.8763000000000001</v>
      </c>
      <c r="M4" s="21">
        <f>_xll.BDP(M$3,$A$1)</f>
        <v>2.8837000000000002</v>
      </c>
      <c r="N4" s="21">
        <f>_xll.BDP(N$3,$A$1)</f>
        <v>2.8877000000000002</v>
      </c>
      <c r="O4" s="21">
        <f>_xll.BDP(O$3,$A$1)</f>
        <v>2.8872</v>
      </c>
      <c r="P4" s="21">
        <f>_xll.BDP(P$3,$A$1)</f>
        <v>2.8809999999999998</v>
      </c>
      <c r="Q4" s="21">
        <f>_xll.BDP(Q$3,$A$1)</f>
        <v>2.8690000000000002</v>
      </c>
      <c r="R4" s="21">
        <f>_xll.BDP(R$3,$A$1)</f>
        <v>2.8527999999999998</v>
      </c>
      <c r="S4" s="21">
        <f>_xll.BDP(S$3,$A$1)</f>
        <v>2.8336000000000001</v>
      </c>
      <c r="T4" s="21">
        <f>_xll.BDP(T$3,$A$1)</f>
        <v>2.8119999999999998</v>
      </c>
      <c r="U4" s="21">
        <f>_xll.BDP(U$3,$A$1)</f>
        <v>2.7894999999999999</v>
      </c>
      <c r="V4" s="21">
        <f>_xll.BDP(V$3,$A$1)</f>
        <v>2.7665000000000002</v>
      </c>
      <c r="W4" s="21">
        <f>_xll.BDP(W$3,$A$1)</f>
        <v>2.7425000000000002</v>
      </c>
      <c r="X4" s="21">
        <f>_xll.BDP(X$3,$A$1)</f>
        <v>2.7183999999999999</v>
      </c>
      <c r="Y4" s="21">
        <f>_xll.BDP(Y$3,$A$1)</f>
        <v>2.694</v>
      </c>
      <c r="Z4" s="21">
        <f>_xll.BDP(Z$3,$A$1)</f>
        <v>2.6709000000000001</v>
      </c>
      <c r="AA4" s="21">
        <f>_xll.BDP(AA$3,$A$1)</f>
        <v>2.6474000000000002</v>
      </c>
      <c r="AB4" s="21">
        <f>_xll.BDP(AB$3,$A$1)</f>
        <v>2.6254</v>
      </c>
      <c r="AC4" s="21">
        <f>_xll.BDP(AC$3,$A$1)</f>
        <v>2.6034999999999999</v>
      </c>
      <c r="AD4" s="21">
        <f>_xll.BDP(AD$3,$A$1)</f>
        <v>2.5823</v>
      </c>
    </row>
    <row r="5" spans="1:30">
      <c r="A5" s="22">
        <v>1</v>
      </c>
      <c r="B5" s="22">
        <f>A5+1</f>
        <v>2</v>
      </c>
      <c r="C5" s="22">
        <f t="shared" ref="C5:AD5" si="0">B5+1</f>
        <v>3</v>
      </c>
      <c r="D5" s="22">
        <f t="shared" si="0"/>
        <v>4</v>
      </c>
      <c r="E5" s="22">
        <f t="shared" si="0"/>
        <v>5</v>
      </c>
      <c r="F5" s="22">
        <f t="shared" si="0"/>
        <v>6</v>
      </c>
      <c r="G5" s="22">
        <f t="shared" si="0"/>
        <v>7</v>
      </c>
      <c r="H5" s="22">
        <f t="shared" si="0"/>
        <v>8</v>
      </c>
      <c r="I5" s="22">
        <f t="shared" si="0"/>
        <v>9</v>
      </c>
      <c r="J5" s="22">
        <f t="shared" si="0"/>
        <v>10</v>
      </c>
      <c r="K5" s="22">
        <f t="shared" si="0"/>
        <v>11</v>
      </c>
      <c r="L5" s="22">
        <f t="shared" si="0"/>
        <v>12</v>
      </c>
      <c r="M5" s="22">
        <f t="shared" si="0"/>
        <v>13</v>
      </c>
      <c r="N5" s="22">
        <f t="shared" si="0"/>
        <v>14</v>
      </c>
      <c r="O5" s="22">
        <f t="shared" si="0"/>
        <v>15</v>
      </c>
      <c r="P5" s="22">
        <f t="shared" si="0"/>
        <v>16</v>
      </c>
      <c r="Q5" s="22">
        <f t="shared" si="0"/>
        <v>17</v>
      </c>
      <c r="R5" s="22">
        <f t="shared" si="0"/>
        <v>18</v>
      </c>
      <c r="S5" s="22">
        <f t="shared" si="0"/>
        <v>19</v>
      </c>
      <c r="T5" s="22">
        <f t="shared" si="0"/>
        <v>20</v>
      </c>
      <c r="U5" s="22">
        <f t="shared" si="0"/>
        <v>21</v>
      </c>
      <c r="V5" s="22">
        <f t="shared" si="0"/>
        <v>22</v>
      </c>
      <c r="W5" s="22">
        <f t="shared" si="0"/>
        <v>23</v>
      </c>
      <c r="X5" s="22">
        <f t="shared" si="0"/>
        <v>24</v>
      </c>
      <c r="Y5" s="22">
        <f t="shared" si="0"/>
        <v>25</v>
      </c>
      <c r="Z5" s="22">
        <f t="shared" si="0"/>
        <v>26</v>
      </c>
      <c r="AA5" s="22">
        <f t="shared" si="0"/>
        <v>27</v>
      </c>
      <c r="AB5" s="22">
        <f t="shared" si="0"/>
        <v>28</v>
      </c>
      <c r="AC5" s="22">
        <f t="shared" si="0"/>
        <v>29</v>
      </c>
      <c r="AD5" s="22">
        <f t="shared" si="0"/>
        <v>30</v>
      </c>
    </row>
  </sheetData>
  <pageMargins left="0.7" right="0.7" top="0.75" bottom="0.75" header="0.3" footer="0.3"/>
  <pageSetup orientation="portrait" r:id="rId1"/>
  <headerFooter>
    <oddFooter>&amp;C_x000D_&amp;1#&amp;"Calibri"&amp;10&amp;K000000 Public Information</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9" tint="-0.249977111117893"/>
    <pageSetUpPr autoPageBreaks="0"/>
  </sheetPr>
  <dimension ref="A1:AB81"/>
  <sheetViews>
    <sheetView tabSelected="1" zoomScale="90" zoomScaleNormal="90" workbookViewId="0">
      <pane xSplit="2" ySplit="4" topLeftCell="C35" activePane="bottomRight" state="frozen"/>
      <selection pane="topRight" activeCell="C1" sqref="C1"/>
      <selection pane="bottomLeft" activeCell="A5" sqref="A5"/>
      <selection pane="bottomRight" activeCell="D47" sqref="D47:E53"/>
    </sheetView>
  </sheetViews>
  <sheetFormatPr defaultColWidth="9.109375" defaultRowHeight="12.75" customHeight="1"/>
  <cols>
    <col min="1" max="1" width="9.109375" style="3"/>
    <col min="2" max="2" width="30.88671875" style="3" customWidth="1"/>
    <col min="3" max="5" width="9.109375" style="3"/>
    <col min="6" max="6" width="11.33203125" style="3" bestFit="1" customWidth="1"/>
    <col min="7" max="7" width="13" style="3" bestFit="1" customWidth="1"/>
    <col min="8" max="8" width="9.109375" style="74" customWidth="1"/>
    <col min="9" max="10" width="9.109375" style="3"/>
    <col min="11" max="13" width="11" style="3" customWidth="1"/>
    <col min="14" max="14" width="11.5546875" style="3" bestFit="1" customWidth="1"/>
    <col min="15" max="15" width="11.5546875" style="3" customWidth="1"/>
    <col min="16" max="16" width="15.6640625" style="3" bestFit="1" customWidth="1"/>
    <col min="17" max="17" width="13.5546875" style="3" customWidth="1"/>
    <col min="18" max="18" width="11.5546875" style="3" customWidth="1"/>
    <col min="19" max="19" width="9.109375" style="3" customWidth="1"/>
    <col min="20" max="20" width="10" style="3" customWidth="1"/>
    <col min="21" max="21" width="10.88671875" style="3" bestFit="1" customWidth="1"/>
    <col min="22" max="22" width="9.109375" style="3"/>
    <col min="23" max="23" width="9.109375" style="82"/>
    <col min="24" max="24" width="9.109375" style="3"/>
    <col min="25" max="25" width="12.6640625" style="3" customWidth="1"/>
    <col min="26" max="26" width="15" style="3" bestFit="1" customWidth="1"/>
    <col min="27" max="27" width="9.109375" style="3"/>
    <col min="28" max="28" width="13.5546875" style="3" bestFit="1" customWidth="1"/>
    <col min="29" max="16384" width="9.109375" style="3"/>
  </cols>
  <sheetData>
    <row r="1" spans="1:28" ht="12.75" customHeight="1">
      <c r="J1" s="24" t="s">
        <v>284</v>
      </c>
      <c r="K1" s="25">
        <f ca="1">TODAY()</f>
        <v>45475</v>
      </c>
      <c r="O1" s="26"/>
      <c r="P1" s="53"/>
      <c r="Q1" s="14" t="s">
        <v>571</v>
      </c>
      <c r="R1" s="106">
        <f ca="1">K1</f>
        <v>45475</v>
      </c>
    </row>
    <row r="2" spans="1:28" ht="12.75" customHeight="1">
      <c r="D2" s="52"/>
      <c r="E2" s="51"/>
      <c r="F2" s="51"/>
      <c r="G2" s="51"/>
      <c r="H2" s="75"/>
      <c r="J2" s="24" t="s">
        <v>86</v>
      </c>
      <c r="K2" s="48">
        <v>10000000</v>
      </c>
      <c r="O2" s="66" t="s">
        <v>430</v>
      </c>
      <c r="Q2" s="14" t="s">
        <v>572</v>
      </c>
      <c r="R2" s="107">
        <f ca="1">R1</f>
        <v>45475</v>
      </c>
    </row>
    <row r="3" spans="1:28" ht="12.75" customHeight="1">
      <c r="J3" s="24" t="s">
        <v>295</v>
      </c>
      <c r="K3" s="28">
        <v>0.02</v>
      </c>
      <c r="O3" s="23"/>
      <c r="P3" s="109" t="s">
        <v>575</v>
      </c>
      <c r="Q3" s="109" t="s">
        <v>576</v>
      </c>
      <c r="AB3" s="109" t="s">
        <v>577</v>
      </c>
    </row>
    <row r="4" spans="1:28" ht="45" customHeight="1">
      <c r="A4" s="3" t="s">
        <v>427</v>
      </c>
      <c r="B4" s="47">
        <v>555</v>
      </c>
      <c r="C4" s="29" t="s">
        <v>285</v>
      </c>
      <c r="D4" s="29" t="s">
        <v>287</v>
      </c>
      <c r="E4" s="29" t="s">
        <v>286</v>
      </c>
      <c r="F4" s="29" t="s">
        <v>288</v>
      </c>
      <c r="G4" s="30" t="s">
        <v>293</v>
      </c>
      <c r="H4" s="68" t="s">
        <v>427</v>
      </c>
      <c r="K4" s="3" t="s">
        <v>568</v>
      </c>
      <c r="L4" s="3" t="s">
        <v>569</v>
      </c>
      <c r="M4" s="3" t="s">
        <v>570</v>
      </c>
      <c r="N4" s="3" t="s">
        <v>567</v>
      </c>
      <c r="O4" s="3" t="s">
        <v>566</v>
      </c>
      <c r="P4" s="3" t="s">
        <v>573</v>
      </c>
      <c r="Q4" s="29" t="s">
        <v>291</v>
      </c>
      <c r="R4" s="29" t="s">
        <v>289</v>
      </c>
      <c r="S4" s="29" t="s">
        <v>290</v>
      </c>
      <c r="T4" s="29" t="s">
        <v>292</v>
      </c>
      <c r="U4" s="29" t="s">
        <v>294</v>
      </c>
      <c r="W4" s="82" t="s">
        <v>429</v>
      </c>
      <c r="Y4" s="85" t="s">
        <v>431</v>
      </c>
      <c r="Z4" s="85" t="s">
        <v>432</v>
      </c>
      <c r="AB4" s="3" t="s">
        <v>574</v>
      </c>
    </row>
    <row r="5" spans="1:28" ht="12.75" customHeight="1">
      <c r="A5" s="3">
        <f>Rates!$E$4</f>
        <v>2.8950999999999998</v>
      </c>
      <c r="B5" s="31">
        <v>10</v>
      </c>
      <c r="C5" s="92">
        <f>F30</f>
        <v>3.6500000000000004</v>
      </c>
      <c r="D5" s="33">
        <f>((1+C5%)^(1/12)-1)*100</f>
        <v>0.29919380133611728</v>
      </c>
      <c r="E5" s="45">
        <f>B5*12</f>
        <v>120</v>
      </c>
      <c r="F5" s="67">
        <f>MIN(2*C5,C5+3)-(C5-H5)</f>
        <v>5.9046473782542437</v>
      </c>
      <c r="G5" s="43">
        <f>[1]Mortgage10Y_555!$AG$17</f>
        <v>3.0331550430465306</v>
      </c>
      <c r="H5" s="76">
        <f>[1]Mortgage10Y_555!$AA$18</f>
        <v>2.9046473782542437</v>
      </c>
      <c r="I5" s="27">
        <v>25</v>
      </c>
      <c r="J5" s="34">
        <v>1</v>
      </c>
      <c r="K5" s="35">
        <f ca="1">LocalAddBusMonths($K$1,60)</f>
        <v>47301</v>
      </c>
      <c r="L5" s="35">
        <f ca="1">LocalAddBusMonths($K$1,120)</f>
        <v>49128</v>
      </c>
      <c r="M5" s="35">
        <f ca="1">L5</f>
        <v>49128</v>
      </c>
      <c r="N5" s="36">
        <f>$F$8</f>
        <v>5.8737867707580023</v>
      </c>
      <c r="O5" s="84">
        <f>Z5</f>
        <v>6771694.2654271219</v>
      </c>
      <c r="P5" s="3" t="str" cm="1">
        <f t="array" aca="1" ref="P5" ca="1">_xll.BSTRUCTURE("OV",STKAidSheet!$A$1,STKAidSheet!$B$1,STKAidSheet!$A$2,STKAidSheet!$B$2,STKAidSheet!$A$3,STKAidSheet!$B$3,STKAidSheet!$A$4,STKAidSheet!$B$4,STKAidSheet!$A$5,STKAidSheet!$B$5,STKAidSheet!$A$6,STKAidSheet!$B$6,$K$4,K5,$L$4,L5,$M$4,M5,$N$4,N5)</f>
        <v>OV 4222991124</v>
      </c>
      <c r="Q5" s="37">
        <f ca="1">_xll.BVIEW(AB5,"FwdDealPremium","HEADERS=N")</f>
        <v>0.53936988735598013</v>
      </c>
      <c r="R5" s="37">
        <f ca="1">_xll.BVIEW(AB5,"DV01","HEADERS=N")</f>
        <v>-374.57254840393546</v>
      </c>
      <c r="S5" s="37">
        <f ca="1">_xll.BVIEW(AB5,"Vega","HEADERS=N")</f>
        <v>1606.9402809823878</v>
      </c>
      <c r="T5" s="37">
        <f ca="1">Q5+(R5+(2*S5))/100000</f>
        <v>0.5677629674915885</v>
      </c>
      <c r="U5" s="19">
        <f ca="1">T5%*O5/100000</f>
        <v>0.38447172310846756</v>
      </c>
      <c r="V5" s="26"/>
      <c r="W5" s="83">
        <f>$K$2+(CUMPRINC($D$8%,$E$8,$K$2,1,60,0)+CUMPRINC($D$8%,$E$8,$K$2,1,120,0))/2</f>
        <v>7942394.4407367641</v>
      </c>
      <c r="X5" s="3">
        <v>5</v>
      </c>
      <c r="Y5" s="78">
        <f>VLOOKUP(X5*12,[1]Mortgage25Y_555!A$22:E$381,5,FALSE)</f>
        <v>7810463.3464125609</v>
      </c>
      <c r="Z5" s="80">
        <f>(Y5+Y6)/2</f>
        <v>6771694.2654271219</v>
      </c>
      <c r="AB5" s="3" t="str" cm="1">
        <f t="array" aca="1" ref="AB5" ca="1">_xll.BPRICE(P5,"MarketDate",$R$2,"ValuationDate",$R$1)</f>
        <v>PRICE GREEKS OV 3786201529</v>
      </c>
    </row>
    <row r="6" spans="1:28" ht="12.75" customHeight="1">
      <c r="A6" s="3">
        <f>Rates!$E$4</f>
        <v>2.8950999999999998</v>
      </c>
      <c r="B6" s="31">
        <v>15</v>
      </c>
      <c r="C6" s="92">
        <f t="shared" ref="C6:C7" si="0">F31</f>
        <v>3.5800000000000005</v>
      </c>
      <c r="D6" s="33">
        <f t="shared" ref="D6:D7" si="1">((1+C6%)^(1/12)-1)*100</f>
        <v>0.29354730050472622</v>
      </c>
      <c r="E6" s="46">
        <f t="shared" ref="E6:E8" si="2">B6*12</f>
        <v>180</v>
      </c>
      <c r="F6" s="67">
        <f>MIN(2*C6,C6+3)-(C6-H6)</f>
        <v>5.8861298460807863</v>
      </c>
      <c r="G6" s="44">
        <f ca="1">[1]Mortgage15Y_555!$AG$17</f>
        <v>7.2527903014262716</v>
      </c>
      <c r="H6" s="76">
        <f>[1]Mortgage15Y_555!$AA$18</f>
        <v>2.8861298460807872</v>
      </c>
      <c r="J6" s="34">
        <v>2</v>
      </c>
      <c r="K6" s="35">
        <f ca="1">LocalAddBusMonths($K$1,120)</f>
        <v>49128</v>
      </c>
      <c r="L6" s="35">
        <f ca="1">LocalAddBusMonths($K$1,180)</f>
        <v>50955</v>
      </c>
      <c r="M6" s="35">
        <f t="shared" ref="M6:M14" ca="1" si="3">L6</f>
        <v>50955</v>
      </c>
      <c r="N6" s="36">
        <f t="shared" ref="N6:N8" si="4">$F$8</f>
        <v>5.8737867707580023</v>
      </c>
      <c r="O6" s="84">
        <f t="shared" ref="O6:O13" si="5">Z6</f>
        <v>4741265.025423931</v>
      </c>
      <c r="P6" s="3" t="str" cm="1">
        <f t="array" aca="1" ref="P6" ca="1">_xll.BSTRUCTURE("OV",STKAidSheet!$A$1,STKAidSheet!$B$1,STKAidSheet!$A$2,STKAidSheet!$B$2,STKAidSheet!$A$3,STKAidSheet!$B$3,STKAidSheet!$A$4,STKAidSheet!$B$4,STKAidSheet!$A$5,STKAidSheet!$B$5,STKAidSheet!$A$6,STKAidSheet!$B$6,$K$4,K6,$L$4,L6,$M$4,M6,$N$4,N6)</f>
        <v>OV 3922078981</v>
      </c>
      <c r="Q6" s="37">
        <f ca="1">_xll.BVIEW(AB6,"FwdDealPremium","HEADERS=N")</f>
        <v>1.1517327440936216</v>
      </c>
      <c r="R6" s="37">
        <f ca="1">_xll.BVIEW(AB6,"DV01","HEADERS=N")</f>
        <v>-454.339282974448</v>
      </c>
      <c r="S6" s="37">
        <f ca="1">_xll.BVIEW(AB6,"Vega","HEADERS=N")</f>
        <v>2700.8611762291162</v>
      </c>
      <c r="T6" s="37">
        <f t="shared" ref="T6:T14" ca="1" si="6">Q6+(R6+(2*S6))/100000</f>
        <v>1.2012065747884595</v>
      </c>
      <c r="U6" s="19">
        <f t="shared" ref="U6:U13" ca="1" si="7">T6%*O6/100000</f>
        <v>0.56952387213537992</v>
      </c>
      <c r="V6" s="26"/>
      <c r="W6" s="83">
        <f>$K$2+(CUMPRINC($D$8%,$E$8,$K$2,1,120,0)+CUMPRINC($D$8%,$E$8,$K$2,1,180,0))/2</f>
        <v>6200690.6800736357</v>
      </c>
      <c r="X6" s="3">
        <v>10</v>
      </c>
      <c r="Y6" s="78">
        <f>VLOOKUP(X6*12,[1]Mortgage25Y_555!A$22:E$381,5,FALSE)</f>
        <v>5732925.184441682</v>
      </c>
      <c r="Z6" s="80">
        <f>(Y6+Y7)/2</f>
        <v>4741265.025423931</v>
      </c>
      <c r="AB6" s="3" t="str" cm="1">
        <f t="array" aca="1" ref="AB6" ca="1">_xll.BPRICE(P6,"MarketDate",$R$2,"ValuationDate",$R$1)</f>
        <v>PRICE GREEKS OV 3381852578</v>
      </c>
    </row>
    <row r="7" spans="1:28" ht="12.75" customHeight="1">
      <c r="A7" s="3">
        <f>Rates!$E$4</f>
        <v>2.8950999999999998</v>
      </c>
      <c r="B7" s="31">
        <v>20</v>
      </c>
      <c r="C7" s="92">
        <f t="shared" si="0"/>
        <v>3.5700000000000003</v>
      </c>
      <c r="D7" s="33">
        <f t="shared" si="1"/>
        <v>0.29274037199951142</v>
      </c>
      <c r="E7" s="46">
        <f t="shared" si="2"/>
        <v>240</v>
      </c>
      <c r="F7" s="67">
        <f>MIN(2*C7,C7+3)-(C7-H7)</f>
        <v>5.8781963995996529</v>
      </c>
      <c r="G7" s="44">
        <f ca="1">[1]Mortgage20Y_555!$AG$17</f>
        <v>11.433221053735041</v>
      </c>
      <c r="H7" s="76">
        <f>[1]Mortgage20Y_555!$AA$18</f>
        <v>2.8781963995996529</v>
      </c>
      <c r="J7" s="34">
        <v>3</v>
      </c>
      <c r="K7" s="35">
        <f ca="1">LocalAddBusMonths($K$1,180)</f>
        <v>50955</v>
      </c>
      <c r="L7" s="35">
        <f ca="1">LocalAddBusMonths($K$1,240)</f>
        <v>52782</v>
      </c>
      <c r="M7" s="35">
        <f t="shared" ca="1" si="3"/>
        <v>52782</v>
      </c>
      <c r="N7" s="36">
        <f t="shared" si="4"/>
        <v>5.8737867707580023</v>
      </c>
      <c r="O7" s="84">
        <f t="shared" si="5"/>
        <v>2796728.6333624972</v>
      </c>
      <c r="P7" s="3" t="str" cm="1">
        <f t="array" aca="1" ref="P7" ca="1">_xll.BSTRUCTURE("OV",STKAidSheet!$A$1,STKAidSheet!$B$1,STKAidSheet!$A$2,STKAidSheet!$B$2,STKAidSheet!$A$3,STKAidSheet!$B$3,STKAidSheet!$A$4,STKAidSheet!$B$4,STKAidSheet!$A$5,STKAidSheet!$B$5,STKAidSheet!$A$6,STKAidSheet!$B$6,$K$4,K7,$L$4,L7,$M$4,M7,$N$4,N7)</f>
        <v>OV 4093850731</v>
      </c>
      <c r="Q7" s="37">
        <f ca="1">_xll.BVIEW(AB7,"FwdDealPremium","HEADERS=N")</f>
        <v>1.3136232236993224</v>
      </c>
      <c r="R7" s="37">
        <f ca="1">_xll.BVIEW(AB7,"DV01","HEADERS=N")</f>
        <v>-317.83939176141359</v>
      </c>
      <c r="S7" s="37">
        <f ca="1">_xll.BVIEW(AB7,"Vega","HEADERS=N")</f>
        <v>2861.837183189622</v>
      </c>
      <c r="T7" s="37">
        <f t="shared" ca="1" si="6"/>
        <v>1.3676815734455008</v>
      </c>
      <c r="U7" s="19">
        <f t="shared" ca="1" si="7"/>
        <v>0.38250342177773056</v>
      </c>
      <c r="V7" s="26"/>
      <c r="W7" s="83">
        <f>$K$2+(CUMPRINC($D$8%,$E$8,$K$2,1,180,0)+CUMPRINC($D$8%,$E$8,$K$2,1,240,0))/2</f>
        <v>4064265.8816619813</v>
      </c>
      <c r="X7" s="3">
        <v>15</v>
      </c>
      <c r="Y7" s="78">
        <f>VLOOKUP(X7*12,[1]Mortgage25Y_555!A$22:E$381,5,FALSE)</f>
        <v>3749604.86640618</v>
      </c>
      <c r="Z7" s="80">
        <f t="shared" ref="Z7:Z12" si="8">(Y7+Y8)/2</f>
        <v>2796728.6333624972</v>
      </c>
      <c r="AB7" s="3" t="str" cm="1">
        <f t="array" aca="1" ref="AB7" ca="1">_xll.BPRICE(P7,"MarketDate",$R$2,"ValuationDate",$R$1)</f>
        <v>PRICE GREEKS OV 3749089932</v>
      </c>
    </row>
    <row r="8" spans="1:28" ht="12.75" customHeight="1">
      <c r="A8" s="3">
        <f>Rates!$E$4</f>
        <v>2.8950999999999998</v>
      </c>
      <c r="B8" s="54">
        <v>25</v>
      </c>
      <c r="C8" s="92">
        <f>F33</f>
        <v>4.17</v>
      </c>
      <c r="D8" s="33">
        <f>((1+C8%)^(1/12)-1)*100</f>
        <v>0.34103013914235092</v>
      </c>
      <c r="E8" s="46">
        <f t="shared" si="2"/>
        <v>300</v>
      </c>
      <c r="F8" s="67">
        <f>MIN(2*C8,C8+3)-(C8-H8)</f>
        <v>5.8737867707580023</v>
      </c>
      <c r="G8" s="44">
        <f ca="1">[1]Mortgage25Y_555!$AG$17</f>
        <v>15.046700031206727</v>
      </c>
      <c r="H8" s="76">
        <f>[1]Mortgage25Y_555!$AA$18</f>
        <v>2.8737867707580023</v>
      </c>
      <c r="J8" s="38">
        <v>4</v>
      </c>
      <c r="K8" s="35">
        <f ca="1">LocalAddBusMonths($K$1,240)</f>
        <v>52782</v>
      </c>
      <c r="L8" s="35">
        <f ca="1">LocalAddBusMonths($K$1,300)</f>
        <v>54606</v>
      </c>
      <c r="M8" s="35">
        <f t="shared" ca="1" si="3"/>
        <v>54606</v>
      </c>
      <c r="N8" s="36">
        <f t="shared" si="4"/>
        <v>5.8737867707580023</v>
      </c>
      <c r="O8" s="84">
        <f t="shared" si="5"/>
        <v>921926.20015940745</v>
      </c>
      <c r="P8" s="3" t="str" cm="1">
        <f t="array" aca="1" ref="P8" ca="1">_xll.BSTRUCTURE("OV",STKAidSheet!$A$1,STKAidSheet!$B$1,STKAidSheet!$A$2,STKAidSheet!$B$2,STKAidSheet!$A$3,STKAidSheet!$B$3,STKAidSheet!$A$4,STKAidSheet!$B$4,STKAidSheet!$A$5,STKAidSheet!$B$5,STKAidSheet!$A$6,STKAidSheet!$B$6,$K$4,K8,$L$4,L8,$M$4,M8,$N$4,N8)</f>
        <v>OV 4291814865</v>
      </c>
      <c r="Q8" s="37">
        <f ca="1">_xll.BVIEW(AB8,"FwdDealPremium","HEADERS=N")</f>
        <v>1.3128893278990275</v>
      </c>
      <c r="R8" s="37">
        <f ca="1">_xll.BVIEW(AB8,"DV01","HEADERS=N")</f>
        <v>-194.94243338857706</v>
      </c>
      <c r="S8" s="37">
        <f ca="1">_xll.BVIEW(AB8,"Vega","HEADERS=N")</f>
        <v>2789.2250338623262</v>
      </c>
      <c r="T8" s="37">
        <f t="shared" ca="1" si="6"/>
        <v>1.3667244042423883</v>
      </c>
      <c r="U8" s="19">
        <f t="shared" ca="1" si="7"/>
        <v>0.12600190366683151</v>
      </c>
      <c r="V8" s="26"/>
      <c r="W8" s="83">
        <f>$K$2+(CUMPRINC($D$8%,$E$8,$K$2,1,240,0)+CUMPRINC($D$8%,$E$8,$K$2,1,300,0))/2</f>
        <v>1443664.7080556955</v>
      </c>
      <c r="X8" s="3">
        <v>20</v>
      </c>
      <c r="Y8" s="78">
        <f>VLOOKUP(X8*12,[1]Mortgage25Y_555!A$22:E$381,5,FALSE)</f>
        <v>1843852.4003188149</v>
      </c>
      <c r="Z8" s="81">
        <f>Y8/2</f>
        <v>921926.20015940745</v>
      </c>
      <c r="AB8" s="3" t="str" cm="1">
        <f t="array" aca="1" ref="AB8" ca="1">_xll.BPRICE(P8,"MarketDate",$R$2,"ValuationDate",$R$1)</f>
        <v>PRICE GREEKS OV 2737458412</v>
      </c>
    </row>
    <row r="9" spans="1:28" ht="12.75" customHeight="1">
      <c r="I9" s="27">
        <v>20</v>
      </c>
      <c r="J9" s="38">
        <v>1</v>
      </c>
      <c r="K9" s="35">
        <f ca="1">K5</f>
        <v>47301</v>
      </c>
      <c r="L9" s="35">
        <f ca="1">L5</f>
        <v>49128</v>
      </c>
      <c r="M9" s="35">
        <f t="shared" ca="1" si="3"/>
        <v>49128</v>
      </c>
      <c r="N9" s="36">
        <f>$F$7</f>
        <v>5.8781963995996529</v>
      </c>
      <c r="O9" s="84">
        <f t="shared" si="5"/>
        <v>6063709.8361749239</v>
      </c>
      <c r="P9" s="3" t="str" cm="1">
        <f t="array" aca="1" ref="P9" ca="1">_xll.BSTRUCTURE("OV",STKAidSheet!$A$1,STKAidSheet!$B$1,STKAidSheet!$A$2,STKAidSheet!$B$2,STKAidSheet!$A$3,STKAidSheet!$B$3,STKAidSheet!$A$4,STKAidSheet!$B$4,STKAidSheet!$A$5,STKAidSheet!$B$5,STKAidSheet!$A$6,STKAidSheet!$B$6,$K$4,K9,$L$4,L9,$M$4,M9,$N$4,N9)</f>
        <v>OV 2141494914</v>
      </c>
      <c r="Q9" s="37">
        <f ca="1">_xll.BVIEW(AB9,"FwdDealPremium","HEADERS=N")</f>
        <v>0.53809070973687567</v>
      </c>
      <c r="R9" s="37">
        <f ca="1">_xll.BVIEW(AB9,"DV01","HEADERS=N")</f>
        <v>-373.71196094973823</v>
      </c>
      <c r="S9" s="37">
        <f ca="1">_xll.BVIEW(AB9,"Vega","HEADERS=N")</f>
        <v>1604.2451560342315</v>
      </c>
      <c r="T9" s="37">
        <f t="shared" ca="1" si="6"/>
        <v>0.56643849324806295</v>
      </c>
      <c r="U9" s="19">
        <f t="shared" ca="1" si="7"/>
        <v>0.34347186630963827</v>
      </c>
      <c r="V9" s="26"/>
      <c r="W9" s="83">
        <f>$K$2+(CUMPRINC($D$7%,$E$7,$K$2,1,60,0)+CUMPRINC($D$7%,$E$7,$K$2,1,120,0))/2</f>
        <v>6991396.7419060897</v>
      </c>
      <c r="X9" s="3">
        <v>5</v>
      </c>
      <c r="Y9" s="78">
        <f>VLOOKUP(X9*12,[1]Mortgage20Y_555!A$22:E$381,5,FALSE)</f>
        <v>7334369.5317663131</v>
      </c>
      <c r="Z9" s="80">
        <f t="shared" si="8"/>
        <v>6063709.8361749239</v>
      </c>
      <c r="AB9" s="3" t="str" cm="1">
        <f t="array" aca="1" ref="AB9" ca="1">_xll.BPRICE(P9,"MarketDate",$R$2,"ValuationDate",$R$1)</f>
        <v>PRICE GREEKS OV 1722620545</v>
      </c>
    </row>
    <row r="10" spans="1:28" ht="12.75" customHeight="1">
      <c r="J10" s="38">
        <v>2</v>
      </c>
      <c r="K10" s="35">
        <f t="shared" ref="K10:L10" ca="1" si="9">K6</f>
        <v>49128</v>
      </c>
      <c r="L10" s="35">
        <f t="shared" ca="1" si="9"/>
        <v>50955</v>
      </c>
      <c r="M10" s="35">
        <f t="shared" ca="1" si="3"/>
        <v>50955</v>
      </c>
      <c r="N10" s="36">
        <f>$F$7</f>
        <v>5.8781963995996529</v>
      </c>
      <c r="O10" s="84">
        <f t="shared" si="5"/>
        <v>3573965.3223847388</v>
      </c>
      <c r="P10" s="3" t="str" cm="1">
        <f t="array" aca="1" ref="P10" ca="1">_xll.BSTRUCTURE("OV",STKAidSheet!$A$1,STKAidSheet!$B$1,STKAidSheet!$A$2,STKAidSheet!$B$2,STKAidSheet!$A$3,STKAidSheet!$B$3,STKAidSheet!$A$4,STKAidSheet!$B$4,STKAidSheet!$A$5,STKAidSheet!$B$5,STKAidSheet!$A$6,STKAidSheet!$B$6,$K$4,K10,$L$4,L10,$M$4,M10,$N$4,N10)</f>
        <v>OV 3841952595</v>
      </c>
      <c r="Q10" s="37">
        <f ca="1">_xll.BVIEW(AB10,"FwdDealPremium","HEADERS=N")</f>
        <v>1.1495277614117367</v>
      </c>
      <c r="R10" s="37">
        <f ca="1">_xll.BVIEW(AB10,"DV01","HEADERS=N")</f>
        <v>-453.54229261297081</v>
      </c>
      <c r="S10" s="37">
        <f ca="1">_xll.BVIEW(AB10,"Vega","HEADERS=N")</f>
        <v>2697.7174797248249</v>
      </c>
      <c r="T10" s="37">
        <f t="shared" ca="1" si="6"/>
        <v>1.1989466880801036</v>
      </c>
      <c r="U10" s="19">
        <f ca="1">T10%*O10/100000</f>
        <v>0.4284993886586323</v>
      </c>
      <c r="V10" s="26"/>
      <c r="W10" s="83">
        <f>$K$2+(CUMPRINC($D$7%,$E$7,$K$2,1,120,0)+CUMPRINC($D$7%,$E$7,$K$2,1,180,0))/2</f>
        <v>4529361.0310600232</v>
      </c>
      <c r="X10" s="3">
        <v>10</v>
      </c>
      <c r="Y10" s="78">
        <f>VLOOKUP(X10*12,[1]Mortgage20Y_555!A$22:E$381,5,FALSE)</f>
        <v>4793050.1405835338</v>
      </c>
      <c r="Z10" s="80">
        <f t="shared" si="8"/>
        <v>3573965.3223847388</v>
      </c>
      <c r="AB10" s="3" t="str" cm="1">
        <f t="array" aca="1" ref="AB10" ca="1">_xll.BPRICE(P10,"MarketDate",$R$2,"ValuationDate",$R$1)</f>
        <v>PRICE GREEKS OV 3286906409</v>
      </c>
    </row>
    <row r="11" spans="1:28" ht="12.75" customHeight="1">
      <c r="C11" s="65"/>
      <c r="F11" s="65"/>
      <c r="J11" s="38">
        <v>3</v>
      </c>
      <c r="K11" s="35">
        <f t="shared" ref="K11:L11" ca="1" si="10">K7</f>
        <v>50955</v>
      </c>
      <c r="L11" s="35">
        <f t="shared" ca="1" si="10"/>
        <v>52782</v>
      </c>
      <c r="M11" s="35">
        <f t="shared" ca="1" si="3"/>
        <v>52782</v>
      </c>
      <c r="N11" s="36">
        <f>$F$7</f>
        <v>5.8781963995996529</v>
      </c>
      <c r="O11" s="84">
        <f t="shared" si="5"/>
        <v>1177440.2520929719</v>
      </c>
      <c r="P11" s="3" t="str" cm="1">
        <f t="array" aca="1" ref="P11" ca="1">_xll.BSTRUCTURE("OV",STKAidSheet!$A$1,STKAidSheet!$B$1,STKAidSheet!$A$2,STKAidSheet!$B$2,STKAidSheet!$A$3,STKAidSheet!$B$3,STKAidSheet!$A$4,STKAidSheet!$B$4,STKAidSheet!$A$5,STKAidSheet!$B$5,STKAidSheet!$A$6,STKAidSheet!$B$6,$K$4,K11,$L$4,L11,$M$4,M11,$N$4,N11)</f>
        <v>OV 4247444345</v>
      </c>
      <c r="Q11" s="37">
        <f ca="1">_xll.BVIEW(AB11,"FwdDealPremium","HEADERS=N")</f>
        <v>1.3115017544898098</v>
      </c>
      <c r="R11" s="37">
        <f ca="1">_xll.BVIEW(AB11,"DV01","HEADERS=N")</f>
        <v>-317.36485738889388</v>
      </c>
      <c r="S11" s="37">
        <f ca="1">_xll.BVIEW(AB11,"Vega","HEADERS=N")</f>
        <v>2858.9695738695668</v>
      </c>
      <c r="T11" s="37">
        <f t="shared" ca="1" si="6"/>
        <v>1.3655074973933121</v>
      </c>
      <c r="U11" s="19">
        <f t="shared" ca="1" si="7"/>
        <v>0.16078034919656245</v>
      </c>
      <c r="V11" s="26"/>
      <c r="W11" s="83">
        <f>$K$2+(CUMPRINC($D$7%,$E$7,$K$2,1,180,0)+CUMPRINC($D$7%,$E$7,$K$2,1,240,0))/2</f>
        <v>1595333.1995575875</v>
      </c>
      <c r="X11" s="3">
        <v>15</v>
      </c>
      <c r="Y11" s="78">
        <f>VLOOKUP(X11*12,[1]Mortgage20Y_555!A$22:E$381,5,FALSE)</f>
        <v>2354880.5041859439</v>
      </c>
      <c r="Z11" s="81">
        <f>Y11/2</f>
        <v>1177440.2520929719</v>
      </c>
      <c r="AB11" s="3" t="str" cm="1">
        <f t="array" aca="1" ref="AB11" ca="1">_xll.BPRICE(P11,"MarketDate",$R$2,"ValuationDate",$R$1)</f>
        <v>PRICE GREEKS OV 3285737682</v>
      </c>
    </row>
    <row r="12" spans="1:28" ht="12.75" customHeight="1">
      <c r="I12" s="27">
        <v>15</v>
      </c>
      <c r="J12" s="38">
        <v>1</v>
      </c>
      <c r="K12" s="35">
        <f ca="1">K5</f>
        <v>47301</v>
      </c>
      <c r="L12" s="35">
        <f ca="1">L5</f>
        <v>49128</v>
      </c>
      <c r="M12" s="35">
        <f t="shared" ca="1" si="3"/>
        <v>49128</v>
      </c>
      <c r="N12" s="36">
        <f>$F$6</f>
        <v>5.8861298460807863</v>
      </c>
      <c r="O12" s="84">
        <f t="shared" si="5"/>
        <v>4874266.3706299504</v>
      </c>
      <c r="P12" s="3" t="str" cm="1">
        <f t="array" aca="1" ref="P12" ca="1">_xll.BSTRUCTURE("OV",STKAidSheet!$A$1,STKAidSheet!$B$1,STKAidSheet!$A$2,STKAidSheet!$B$2,STKAidSheet!$A$3,STKAidSheet!$B$3,STKAidSheet!$A$4,STKAidSheet!$B$4,STKAidSheet!$A$5,STKAidSheet!$B$5,STKAidSheet!$A$6,STKAidSheet!$B$6,$K$4,K12,$L$4,L12,$M$4,M12,$N$4,N12)</f>
        <v>OV 1034858023</v>
      </c>
      <c r="Q12" s="37">
        <f ca="1">_xll.BVIEW(AB12,"FwdDealPremium","HEADERS=N")</f>
        <v>0.53586482548643521</v>
      </c>
      <c r="R12" s="37">
        <f ca="1">_xll.BVIEW(AB12,"DV01","HEADERS=N")</f>
        <v>-372.2176251339377</v>
      </c>
      <c r="S12" s="37">
        <f ca="1">_xll.BVIEW(AB12,"Vega","HEADERS=N")</f>
        <v>1599.5516516018108</v>
      </c>
      <c r="T12" s="37">
        <f t="shared" ca="1" si="6"/>
        <v>0.56413368226713201</v>
      </c>
      <c r="U12" s="19">
        <f t="shared" ca="1" si="7"/>
        <v>0.27497378360143232</v>
      </c>
      <c r="V12" s="26"/>
      <c r="W12" s="83">
        <f>$K$2+(CUMPRINC($D$6%,$E$6,$K$2,1,60,0)+CUMPRINC($D$6%,$E$6,$K$2,1,120,0))/2</f>
        <v>5583232.6187666878</v>
      </c>
      <c r="X12" s="3">
        <v>5</v>
      </c>
      <c r="Y12" s="78">
        <f>VLOOKUP(X12*12,[1]Mortgage15Y_555!A$22:E$381,5,FALSE)</f>
        <v>6536409.7818945507</v>
      </c>
      <c r="Z12" s="80">
        <f t="shared" si="8"/>
        <v>4874266.3706299504</v>
      </c>
      <c r="AB12" s="3" t="str" cm="1">
        <f t="array" aca="1" ref="AB12" ca="1">_xll.BPRICE(P12,"MarketDate",$R$2,"ValuationDate",$R$1)</f>
        <v>PRICE GREEKS OV 3237737921</v>
      </c>
    </row>
    <row r="13" spans="1:28" ht="12.75" customHeight="1">
      <c r="J13" s="38">
        <v>2</v>
      </c>
      <c r="K13" s="35">
        <f ca="1">K6</f>
        <v>49128</v>
      </c>
      <c r="L13" s="35">
        <f ca="1">L6</f>
        <v>50955</v>
      </c>
      <c r="M13" s="35">
        <f t="shared" ca="1" si="3"/>
        <v>50955</v>
      </c>
      <c r="N13" s="36">
        <f>$F$6</f>
        <v>5.8861298460807863</v>
      </c>
      <c r="O13" s="84">
        <f t="shared" si="5"/>
        <v>1606061.4796826751</v>
      </c>
      <c r="P13" s="3" t="str" cm="1">
        <f t="array" aca="1" ref="P13" ca="1">_xll.BSTRUCTURE("OV",STKAidSheet!$A$1,STKAidSheet!$B$1,STKAidSheet!$A$2,STKAidSheet!$B$2,STKAidSheet!$A$3,STKAidSheet!$B$3,STKAidSheet!$A$4,STKAidSheet!$B$4,STKAidSheet!$A$5,STKAidSheet!$B$5,STKAidSheet!$A$6,STKAidSheet!$B$6,$K$4,K13,$L$4,L13,$M$4,M13,$N$4,N13)</f>
        <v>OV 3054498749</v>
      </c>
      <c r="Q13" s="37">
        <f ca="1">_xll.BVIEW(AB13,"FwdDealPremium","HEADERS=N")</f>
        <v>1.1455443774174536</v>
      </c>
      <c r="R13" s="37">
        <f ca="1">_xll.BVIEW(AB13,"DV01","HEADERS=N")</f>
        <v>-452.10742568098067</v>
      </c>
      <c r="S13" s="37">
        <f ca="1">_xll.BVIEW(AB13,"Vega","HEADERS=N")</f>
        <v>2692.0441038733675</v>
      </c>
      <c r="T13" s="37">
        <f ca="1">Q13+(R13+(2*S13))/100000</f>
        <v>1.1948641852381112</v>
      </c>
      <c r="U13" s="19">
        <f t="shared" ca="1" si="7"/>
        <v>0.19190253413633548</v>
      </c>
      <c r="V13" s="26"/>
      <c r="W13" s="83">
        <f>$K$2+(CUMPRINC($D$6%,$E$6,$K$2,1,120,0)+CUMPRINC($D$6%,$E$6,$K$2,1,180,0))/2</f>
        <v>1966808.7900913674</v>
      </c>
      <c r="X13" s="3">
        <v>10</v>
      </c>
      <c r="Y13" s="78">
        <f>VLOOKUP(X13*12,[1]Mortgage15Y_555!A$22:E$381,5,FALSE)</f>
        <v>3212122.9593653502</v>
      </c>
      <c r="Z13" s="81">
        <f>Y13/2</f>
        <v>1606061.4796826751</v>
      </c>
      <c r="AB13" s="3" t="str" cm="1">
        <f t="array" aca="1" ref="AB13" ca="1">_xll.BPRICE(P13,"MarketDate",$R$2,"ValuationDate",$R$1)</f>
        <v>PRICE GREEKS OV 2097031983</v>
      </c>
    </row>
    <row r="14" spans="1:28" ht="12.75" customHeight="1">
      <c r="I14" s="39">
        <v>10</v>
      </c>
      <c r="J14" s="38">
        <v>1</v>
      </c>
      <c r="K14" s="35">
        <f ca="1">K5</f>
        <v>47301</v>
      </c>
      <c r="L14" s="35">
        <f ca="1">L5</f>
        <v>49128</v>
      </c>
      <c r="M14" s="35">
        <f t="shared" ca="1" si="3"/>
        <v>49128</v>
      </c>
      <c r="N14" s="36">
        <f>$F$5</f>
        <v>5.9046473782542437</v>
      </c>
      <c r="O14" s="84">
        <f>Z14</f>
        <v>2460899.3381982325</v>
      </c>
      <c r="P14" s="3" t="str" cm="1">
        <f t="array" aca="1" ref="P14" ca="1">_xll.BSTRUCTURE("OV",STKAidSheet!$A$1,STKAidSheet!$B$1,STKAidSheet!$A$2,STKAidSheet!$B$2,STKAidSheet!$A$3,STKAidSheet!$B$3,STKAidSheet!$A$4,STKAidSheet!$B$4,STKAidSheet!$A$5,STKAidSheet!$B$5,STKAidSheet!$A$6,STKAidSheet!$B$6,$K$4,K14,$L$4,L14,$M$4,M14,$N$4,N14)</f>
        <v>OV 3971416526</v>
      </c>
      <c r="Q14" s="37">
        <f ca="1">_xll.BVIEW(AB14,"FwdDealPremium","HEADERS=N")</f>
        <v>0.53055040649431351</v>
      </c>
      <c r="R14" s="37">
        <f ca="1">_xll.BVIEW(AB14,"DV01","HEADERS=N")</f>
        <v>-368.64324525573358</v>
      </c>
      <c r="S14" s="37">
        <f ca="1">_xll.BVIEW(AB14,"Vega","HEADERS=N")</f>
        <v>1588.3141382324375</v>
      </c>
      <c r="T14" s="37">
        <f t="shared" ca="1" si="6"/>
        <v>0.55863025680640488</v>
      </c>
      <c r="U14" s="19">
        <f ca="1">T14%*O14/100000</f>
        <v>0.13747328292723904</v>
      </c>
      <c r="V14" s="26"/>
      <c r="W14" s="83">
        <f>$K$2+(CUMPRINC($D$5%,$E$5,$K$2,1,60,0)+CUMPRINC($D$5%,$E$5,$K$2,1,120,0))/2</f>
        <v>2723462.3314590491</v>
      </c>
      <c r="X14" s="3">
        <v>5</v>
      </c>
      <c r="Y14" s="78">
        <f>VLOOKUP(X14*12,[1]Mortgage10Y_555!A$22:E$381,5,FALSE)</f>
        <v>4921798.6763964649</v>
      </c>
      <c r="Z14" s="81">
        <f>Y14/2</f>
        <v>2460899.3381982325</v>
      </c>
      <c r="AB14" s="3" t="str" cm="1">
        <f t="array" aca="1" ref="AB14" ca="1">_xll.BPRICE(P14,"MarketDate",$R$2,"ValuationDate",$R$1)</f>
        <v>PRICE GREEKS OV 2498602112</v>
      </c>
    </row>
    <row r="17" spans="1:28" ht="45" customHeight="1">
      <c r="A17" s="3" t="s">
        <v>427</v>
      </c>
      <c r="B17" s="47">
        <v>111</v>
      </c>
      <c r="C17" s="29" t="s">
        <v>285</v>
      </c>
      <c r="D17" s="29" t="s">
        <v>287</v>
      </c>
      <c r="E17" s="29" t="s">
        <v>286</v>
      </c>
      <c r="F17" s="29" t="s">
        <v>288</v>
      </c>
      <c r="G17" s="30" t="s">
        <v>293</v>
      </c>
      <c r="H17" s="68" t="s">
        <v>427</v>
      </c>
      <c r="Q17" s="29" t="s">
        <v>291</v>
      </c>
      <c r="R17" s="29" t="s">
        <v>289</v>
      </c>
      <c r="S17" s="29" t="s">
        <v>290</v>
      </c>
      <c r="T17" s="29" t="s">
        <v>292</v>
      </c>
      <c r="U17" s="29" t="s">
        <v>294</v>
      </c>
    </row>
    <row r="18" spans="1:28" ht="12.75" customHeight="1">
      <c r="A18" s="3">
        <f>Rates!$A$4</f>
        <v>3.5364</v>
      </c>
      <c r="B18" s="31">
        <v>10</v>
      </c>
      <c r="C18" s="32">
        <v>1.38</v>
      </c>
      <c r="D18" s="33">
        <f>((1+C18%)^(1/12)-1)*100</f>
        <v>0.11427897418165855</v>
      </c>
      <c r="E18" s="46">
        <f>B18*12</f>
        <v>120</v>
      </c>
      <c r="F18" s="67">
        <f>MIN(2*C18,C18+3)-(C18-H18)</f>
        <v>4.6206300630919204</v>
      </c>
      <c r="G18" s="43">
        <f ca="1">[1]Mortgage10Y_111!$AG$17</f>
        <v>13.893937051241661</v>
      </c>
      <c r="H18" s="76">
        <f>[1]Mortgage10Y_111!$AA$18</f>
        <v>3.2406300630919205</v>
      </c>
      <c r="I18" s="27">
        <v>20</v>
      </c>
      <c r="J18" s="34">
        <v>1</v>
      </c>
      <c r="K18" s="35">
        <f ca="1">LocalAddBusMonths($K$1,12*J18)</f>
        <v>45840</v>
      </c>
      <c r="L18" s="35">
        <f ca="1">LocalAddBusMonths(K18,12)</f>
        <v>46205</v>
      </c>
      <c r="M18" s="35">
        <f t="shared" ref="M18:M66" ca="1" si="11">L18</f>
        <v>46205</v>
      </c>
      <c r="N18" s="72">
        <f>$F$20</f>
        <v>6.2229999999999999</v>
      </c>
      <c r="O18" s="87">
        <f t="shared" ref="O18:O36" si="12">(($K$2+CUMPRINC($D$20%,$E$20,$K$2,1,(1*12*$J18),0))*((1-$K$3)^(1*$J18))+($K$2+CUMPRINC($D$20%,$E$20,$K$2,1,(1*12*($J18+1)),0))*((1-$K$3)^(1*($J18+1))))/2</f>
        <v>9224629.156394586</v>
      </c>
      <c r="P18" s="3" t="str" cm="1">
        <f t="array" aca="1" ref="P18" ca="1">_xll.BSTRUCTURE("OV",STKAidSheet!$A$1,STKAidSheet!$B$1,STKAidSheet!$A$2,STKAidSheet!$B$2,STKAidSheet!$A$3,STKAidSheet!$B$3,STKAidSheet!$A$4,STKAidSheet!$B$4,STKAidSheet!$A$5,STKAidSheet!$B$5,STKAidSheet!$A$6,STKAidSheet!$B$6,$K$4,K18,$L$4,L18,$M$4,M18,$N$4,N18)</f>
        <v>OV 1099729082</v>
      </c>
      <c r="Q18" s="37">
        <f ca="1">_xll.BVIEW(AB18,"FwdDealPremium","HEADERS=N")</f>
        <v>1.504491057944618E-3</v>
      </c>
      <c r="R18" s="37">
        <f ca="1">_xll.BVIEW(AB18,"DV01","HEADERS=N")</f>
        <v>-3.6832851380033218</v>
      </c>
      <c r="S18" s="37">
        <f ca="1">_xll.BVIEW(AB18,"Vega","HEADERS=N")</f>
        <v>10.962827586527046</v>
      </c>
      <c r="T18" s="37">
        <f ca="1">Q18+(R18+(2*S18))/100000</f>
        <v>1.6869147582951258E-3</v>
      </c>
      <c r="U18" s="19">
        <f ca="1">T18%*O18/100000</f>
        <v>1.5561163063721542E-3</v>
      </c>
      <c r="W18" s="87">
        <f t="shared" ref="W18:W36" si="13">(($K$2+CUMPRINC($D$20%,$E$20,$K$2,1,(1*12*$J18),0))*((1-$K$3)^(1*$J18))+($K$2+CUMPRINC($D$20%,$E$20,$K$2,1,(1*12*($J18+1)),0))*((1-$K$3)^(1*($J18+1))))/2</f>
        <v>9224629.156394586</v>
      </c>
      <c r="X18" s="3">
        <v>1</v>
      </c>
      <c r="Y18" s="78">
        <f>VLOOKUP(X18*12,[1]Mortgage20Y_111!A$22:E$381,5,FALSE)</f>
        <v>9481823.9599412717</v>
      </c>
      <c r="Z18" s="80">
        <f>(Y18+Y19)/2</f>
        <v>9224328.1045599412</v>
      </c>
      <c r="AB18" s="3" t="str" cm="1">
        <f t="array" aca="1" ref="AB18" ca="1">_xll.BPRICE(P18,"MarketDate",$R$2,"ValuationDate",$R$1)</f>
        <v>PRICE GREEKS OV 4225289610</v>
      </c>
    </row>
    <row r="19" spans="1:28" ht="12.75" customHeight="1">
      <c r="A19" s="3">
        <f>Rates!$A$4</f>
        <v>3.5364</v>
      </c>
      <c r="B19" s="31">
        <v>15</v>
      </c>
      <c r="C19" s="32">
        <v>1.58</v>
      </c>
      <c r="D19" s="33">
        <f t="shared" ref="D19" si="14">((1+C19%)^(1/12)-1)*100</f>
        <v>0.13072269593599195</v>
      </c>
      <c r="E19" s="46">
        <f t="shared" ref="E19:E20" si="15">B19*12</f>
        <v>180</v>
      </c>
      <c r="F19" s="67">
        <f>MIN(2*C19,C19+3)-(C19-H19)</f>
        <v>4.8151193962947945</v>
      </c>
      <c r="G19" s="44">
        <f ca="1">[1]Mortgage15Y_111!$AG$17</f>
        <v>21.929560122144</v>
      </c>
      <c r="H19" s="76">
        <f>[1]Mortgage15Y_111!$AA$18</f>
        <v>3.2351193962947944</v>
      </c>
      <c r="J19" s="34">
        <v>2</v>
      </c>
      <c r="K19" s="35">
        <f ca="1">LocalAddBusMonths($K$1,12*J19)</f>
        <v>46205</v>
      </c>
      <c r="L19" s="35">
        <f ca="1">LocalAddBusMonths(K19,12)</f>
        <v>46570</v>
      </c>
      <c r="M19" s="35">
        <f t="shared" ca="1" si="11"/>
        <v>46570</v>
      </c>
      <c r="N19" s="69">
        <f t="shared" ref="N19:N36" si="16">$F$20</f>
        <v>6.2229999999999999</v>
      </c>
      <c r="O19" s="87">
        <f t="shared" si="12"/>
        <v>8711366.6642512865</v>
      </c>
      <c r="P19" s="3" t="str" cm="1">
        <f t="array" aca="1" ref="P19" ca="1">_xll.BSTRUCTURE("OV",STKAidSheet!$A$1,STKAidSheet!$B$1,STKAidSheet!$A$2,STKAidSheet!$B$2,STKAidSheet!$A$3,STKAidSheet!$B$3,STKAidSheet!$A$4,STKAidSheet!$B$4,STKAidSheet!$A$5,STKAidSheet!$B$5,STKAidSheet!$A$6,STKAidSheet!$B$6,$K$4,K19,$L$4,L19,$M$4,M19,$N$4,N19)</f>
        <v>OV 3856386850</v>
      </c>
      <c r="Q19" s="37">
        <f ca="1">_xll.BVIEW(AB19,"FwdDealPremium","HEADERS=N")</f>
        <v>1.4959177119979771E-2</v>
      </c>
      <c r="R19" s="37">
        <f ca="1">_xll.BVIEW(AB19,"DV01","HEADERS=N")</f>
        <v>-20.61225551198887</v>
      </c>
      <c r="S19" s="37">
        <f ca="1">_xll.BVIEW(AB19,"Vega","HEADERS=N")</f>
        <v>70.6595999863233</v>
      </c>
      <c r="T19" s="37">
        <f t="shared" ref="T19:T61" ca="1" si="17">Q19+(R19+(2*S19))/100000</f>
        <v>1.6166246564586349E-2</v>
      </c>
      <c r="U19" s="19">
        <f ca="1">T19%*O19/100000</f>
        <v>1.4083010140880439E-2</v>
      </c>
      <c r="W19" s="87">
        <f t="shared" si="13"/>
        <v>8711366.6642512865</v>
      </c>
      <c r="X19" s="3">
        <v>2</v>
      </c>
      <c r="Y19" s="78">
        <f>VLOOKUP(X19*12,[1]Mortgage20Y_111!A$22:E$381,5,FALSE)</f>
        <v>8966832.2491786107</v>
      </c>
      <c r="Z19" s="80">
        <f>(Y19+Y20)/2</f>
        <v>8710821.3092800751</v>
      </c>
      <c r="AB19" s="3" t="str" cm="1">
        <f t="array" aca="1" ref="AB19" ca="1">_xll.BPRICE(P19,"MarketDate",$R$2,"ValuationDate",$R$1)</f>
        <v>PRICE GREEKS OV 3435523223</v>
      </c>
    </row>
    <row r="20" spans="1:28" ht="12.75" customHeight="1">
      <c r="A20" s="3">
        <f>Rates!$A$4</f>
        <v>3.5364</v>
      </c>
      <c r="B20" s="54">
        <v>20</v>
      </c>
      <c r="C20" s="57">
        <f>F29</f>
        <v>4.33</v>
      </c>
      <c r="D20" s="33">
        <f>((1+C20%)^(1/12)-1)*100</f>
        <v>0.35386434752657792</v>
      </c>
      <c r="E20" s="46">
        <f t="shared" si="15"/>
        <v>240</v>
      </c>
      <c r="F20" s="67">
        <f>MIN(2*C20,C20+3)-(C20-H20)</f>
        <v>6.2229999999999999</v>
      </c>
      <c r="G20" s="44">
        <f ca="1">[1]Mortgage20Y_111!$AG$17</f>
        <v>17.614384114493603</v>
      </c>
      <c r="H20" s="76">
        <f>'[1]BBG rates'!$J$11</f>
        <v>3.2229999999999999</v>
      </c>
      <c r="J20" s="34">
        <v>3</v>
      </c>
      <c r="K20" s="35">
        <f ca="1">LocalAddBusMonths($K$1,12*J20)</f>
        <v>46570</v>
      </c>
      <c r="L20" s="35">
        <f ca="1">LocalAddBusMonths(K20,12)</f>
        <v>46937</v>
      </c>
      <c r="M20" s="35">
        <f t="shared" ca="1" si="11"/>
        <v>46937</v>
      </c>
      <c r="N20" s="69">
        <f t="shared" si="16"/>
        <v>6.2229999999999999</v>
      </c>
      <c r="O20" s="87">
        <f t="shared" si="12"/>
        <v>8200993.7978120046</v>
      </c>
      <c r="P20" s="3" t="str" cm="1">
        <f t="array" aca="1" ref="P20" ca="1">_xll.BSTRUCTURE("OV",STKAidSheet!$A$1,STKAidSheet!$B$1,STKAidSheet!$A$2,STKAidSheet!$B$2,STKAidSheet!$A$3,STKAidSheet!$B$3,STKAidSheet!$A$4,STKAidSheet!$B$4,STKAidSheet!$A$5,STKAidSheet!$B$5,STKAidSheet!$A$6,STKAidSheet!$B$6,$K$4,K20,$L$4,L20,$M$4,M20,$N$4,N20)</f>
        <v>OV 4007440450</v>
      </c>
      <c r="Q20" s="37">
        <f ca="1">_xll.BVIEW(AB20,"FwdDealPremium","HEADERS=N")</f>
        <v>4.1990569117669248E-2</v>
      </c>
      <c r="R20" s="37">
        <f ca="1">_xll.BVIEW(AB20,"DV01","HEADERS=N")</f>
        <v>-41.20132056270095</v>
      </c>
      <c r="S20" s="37">
        <f ca="1">_xll.BVIEW(AB20,"Vega","HEADERS=N")</f>
        <v>154.73026169052596</v>
      </c>
      <c r="T20" s="37">
        <f t="shared" ca="1" si="17"/>
        <v>4.4673161145852756E-2</v>
      </c>
      <c r="U20" s="19">
        <f t="shared" ref="U20:U61" ca="1" si="18">T20%*O20/100000</f>
        <v>3.6636431748579466E-2</v>
      </c>
      <c r="W20" s="87">
        <f t="shared" si="13"/>
        <v>8200993.7978120046</v>
      </c>
      <c r="X20" s="3">
        <v>3</v>
      </c>
      <c r="Y20" s="78">
        <f>VLOOKUP(X20*12,[1]Mortgage20Y_111!A$22:E$381,5,FALSE)</f>
        <v>8454810.3693815414</v>
      </c>
      <c r="Z20" s="80">
        <f t="shared" ref="Z20:Z35" si="19">(Y20+Y21)/2</f>
        <v>8200177.5510441307</v>
      </c>
      <c r="AB20" s="3" t="str" cm="1">
        <f t="array" aca="1" ref="AB20" ca="1">_xll.BPRICE(P20,"MarketDate",$R$2,"ValuationDate",$R$1)</f>
        <v>PRICE GREEKS OV 4195320083</v>
      </c>
    </row>
    <row r="21" spans="1:28" ht="12.75" customHeight="1">
      <c r="C21" s="40"/>
      <c r="D21" s="40"/>
      <c r="G21" s="42"/>
      <c r="J21" s="34">
        <v>4</v>
      </c>
      <c r="K21" s="35">
        <f ca="1">LocalAddBusMonths($K$1,12*J21)</f>
        <v>46937</v>
      </c>
      <c r="L21" s="35">
        <f ca="1">LocalAddBusMonths(K21,12)</f>
        <v>47302</v>
      </c>
      <c r="M21" s="35">
        <f t="shared" ca="1" si="11"/>
        <v>47302</v>
      </c>
      <c r="N21" s="69">
        <f t="shared" si="16"/>
        <v>6.2229999999999999</v>
      </c>
      <c r="O21" s="87">
        <f t="shared" si="12"/>
        <v>7693287.2998107243</v>
      </c>
      <c r="P21" s="3" t="str" cm="1">
        <f t="array" aca="1" ref="P21" ca="1">_xll.BSTRUCTURE("OV",STKAidSheet!$A$1,STKAidSheet!$B$1,STKAidSheet!$A$2,STKAidSheet!$B$2,STKAidSheet!$A$3,STKAidSheet!$B$3,STKAidSheet!$A$4,STKAidSheet!$B$4,STKAidSheet!$A$5,STKAidSheet!$B$5,STKAidSheet!$A$6,STKAidSheet!$B$6,$K$4,K21,$L$4,L21,$M$4,M21,$N$4,N21)</f>
        <v>OV 4061964979</v>
      </c>
      <c r="Q21" s="37">
        <f ca="1">_xll.BVIEW(AB21,"FwdDealPremium","HEADERS=N")</f>
        <v>7.3024726925378092E-2</v>
      </c>
      <c r="R21" s="37">
        <f ca="1">_xll.BVIEW(AB21,"DV01","HEADERS=N")</f>
        <v>-57.515866296076595</v>
      </c>
      <c r="S21" s="37">
        <f ca="1">_xll.BVIEW(AB21,"Vega","HEADERS=N")</f>
        <v>234.14714804665815</v>
      </c>
      <c r="T21" s="37">
        <f t="shared" ca="1" si="17"/>
        <v>7.7132511223350492E-2</v>
      </c>
      <c r="U21" s="19">
        <f t="shared" ca="1" si="18"/>
        <v>5.934025689971105E-2</v>
      </c>
      <c r="W21" s="87">
        <f t="shared" si="13"/>
        <v>7693287.2998107243</v>
      </c>
      <c r="X21" s="3">
        <v>4</v>
      </c>
      <c r="Y21" s="78">
        <f>VLOOKUP(X21*12,[1]Mortgage20Y_111!A$22:E$381,5,FALSE)</f>
        <v>7945544.7327067191</v>
      </c>
      <c r="Z21" s="80">
        <f t="shared" si="19"/>
        <v>7692183.6524303574</v>
      </c>
      <c r="AB21" s="3" t="str" cm="1">
        <f t="array" aca="1" ref="AB21" ca="1">_xll.BPRICE(P21,"MarketDate",$R$2,"ValuationDate",$R$1)</f>
        <v>PRICE GREEKS OV 2216478460</v>
      </c>
    </row>
    <row r="22" spans="1:28" ht="12.75" customHeight="1">
      <c r="C22" s="19"/>
      <c r="F22" s="65"/>
      <c r="J22" s="34">
        <v>5</v>
      </c>
      <c r="K22" s="35">
        <f ca="1">LocalAddBusMonths($K$1,12*J22)</f>
        <v>47301</v>
      </c>
      <c r="L22" s="35">
        <f ca="1">LocalAddBusMonths(K22,12)</f>
        <v>47666</v>
      </c>
      <c r="M22" s="35">
        <f t="shared" ca="1" si="11"/>
        <v>47666</v>
      </c>
      <c r="N22" s="69">
        <f t="shared" si="16"/>
        <v>6.2229999999999999</v>
      </c>
      <c r="O22" s="87">
        <f t="shared" si="12"/>
        <v>7188024.6660905126</v>
      </c>
      <c r="P22" s="3" t="str" cm="1">
        <f t="array" aca="1" ref="P22" ca="1">_xll.BSTRUCTURE("OV",STKAidSheet!$A$1,STKAidSheet!$B$1,STKAidSheet!$A$2,STKAidSheet!$B$2,STKAidSheet!$A$3,STKAidSheet!$B$3,STKAidSheet!$A$4,STKAidSheet!$B$4,STKAidSheet!$A$5,STKAidSheet!$B$5,STKAidSheet!$A$6,STKAidSheet!$B$6,$K$4,K22,$L$4,L22,$M$4,M22,$N$4,N22)</f>
        <v>OV 2727607575</v>
      </c>
      <c r="Q22" s="37">
        <f ca="1">_xll.BVIEW(AB22,"FwdDealPremium","HEADERS=N")</f>
        <v>0.10387039226281924</v>
      </c>
      <c r="R22" s="37">
        <f ca="1">_xll.BVIEW(AB22,"DV01","HEADERS=N")</f>
        <v>-69.753754478890286</v>
      </c>
      <c r="S22" s="37">
        <f ca="1">_xll.BVIEW(AB22,"Vega","HEADERS=N")</f>
        <v>305.17021078931907</v>
      </c>
      <c r="T22" s="37">
        <f t="shared" ca="1" si="17"/>
        <v>0.10927625893381672</v>
      </c>
      <c r="U22" s="19">
        <f t="shared" ca="1" si="18"/>
        <v>7.8548044463436842E-2</v>
      </c>
      <c r="W22" s="87">
        <f t="shared" si="13"/>
        <v>7188024.6660905126</v>
      </c>
      <c r="X22" s="3">
        <v>5</v>
      </c>
      <c r="Y22" s="78">
        <f>VLOOKUP(X22*12,[1]Mortgage20Y_111!A$22:E$381,5,FALSE)</f>
        <v>7438822.5721539957</v>
      </c>
      <c r="Z22" s="80">
        <f t="shared" si="19"/>
        <v>7186627.2121388447</v>
      </c>
      <c r="AB22" s="3" t="str" cm="1">
        <f t="array" aca="1" ref="AB22" ca="1">_xll.BPRICE(P22,"MarketDate",$R$2,"ValuationDate",$R$1)</f>
        <v>PRICE GREEKS OV 3214883396</v>
      </c>
    </row>
    <row r="23" spans="1:28" ht="12.75" customHeight="1">
      <c r="F23" s="68"/>
      <c r="J23" s="34">
        <v>6</v>
      </c>
      <c r="K23" s="35">
        <f ca="1">LocalAddBusMonths($K$1,12*J23)</f>
        <v>47666</v>
      </c>
      <c r="L23" s="35">
        <f ca="1">LocalAddBusMonths(K23,12)</f>
        <v>48031</v>
      </c>
      <c r="M23" s="35">
        <f t="shared" ca="1" si="11"/>
        <v>48031</v>
      </c>
      <c r="N23" s="69">
        <f t="shared" si="16"/>
        <v>6.2229999999999999</v>
      </c>
      <c r="O23" s="87">
        <f t="shared" si="12"/>
        <v>6684984.0472655045</v>
      </c>
      <c r="P23" s="3" t="str" cm="1">
        <f t="array" aca="1" ref="P23" ca="1">_xll.BSTRUCTURE("OV",STKAidSheet!$A$1,STKAidSheet!$B$1,STKAidSheet!$A$2,STKAidSheet!$B$2,STKAidSheet!$A$3,STKAidSheet!$B$3,STKAidSheet!$A$4,STKAidSheet!$B$4,STKAidSheet!$A$5,STKAidSheet!$B$5,STKAidSheet!$A$6,STKAidSheet!$B$6,$K$4,K23,$L$4,L23,$M$4,M23,$N$4,N23)</f>
        <v>OV 3600374563</v>
      </c>
      <c r="Q23" s="37">
        <f ca="1">_xll.BVIEW(AB23,"FwdDealPremium","HEADERS=N")</f>
        <v>0.13862957718279734</v>
      </c>
      <c r="R23" s="37">
        <f ca="1">_xll.BVIEW(AB23,"DV01","HEADERS=N")</f>
        <v>-80.155407539777116</v>
      </c>
      <c r="S23" s="37">
        <f ca="1">_xll.BVIEW(AB23,"Vega","HEADERS=N")</f>
        <v>373.33333987841036</v>
      </c>
      <c r="T23" s="37">
        <f t="shared" ca="1" si="17"/>
        <v>0.14529468990496777</v>
      </c>
      <c r="U23" s="19">
        <f t="shared" ca="1" si="18"/>
        <v>9.7129268416709783E-2</v>
      </c>
      <c r="W23" s="87">
        <f t="shared" si="13"/>
        <v>6684984.0472655045</v>
      </c>
      <c r="X23" s="3">
        <v>6</v>
      </c>
      <c r="Y23" s="78">
        <f>VLOOKUP(X23*12,[1]Mortgage20Y_111!A$22:E$381,5,FALSE)</f>
        <v>6934431.8521236926</v>
      </c>
      <c r="Z23" s="80">
        <f t="shared" si="19"/>
        <v>6683296.5156304184</v>
      </c>
      <c r="AB23" s="3" t="str" cm="1">
        <f t="array" aca="1" ref="AB23" ca="1">_xll.BPRICE(P23,"MarketDate",$R$2,"ValuationDate",$R$1)</f>
        <v>PRICE GREEKS OV 4202154600</v>
      </c>
    </row>
    <row r="24" spans="1:28" ht="12.75" customHeight="1">
      <c r="J24" s="34">
        <v>7</v>
      </c>
      <c r="K24" s="35">
        <f ca="1">LocalAddBusMonths($K$1,12*J24)</f>
        <v>48031</v>
      </c>
      <c r="L24" s="35">
        <f ca="1">LocalAddBusMonths(K24,12)</f>
        <v>48397</v>
      </c>
      <c r="M24" s="35">
        <f t="shared" ca="1" si="11"/>
        <v>48397</v>
      </c>
      <c r="N24" s="69">
        <f t="shared" si="16"/>
        <v>6.2229999999999999</v>
      </c>
      <c r="O24" s="87">
        <f t="shared" si="12"/>
        <v>6183944.1504814569</v>
      </c>
      <c r="P24" s="3" t="str" cm="1">
        <f t="array" aca="1" ref="P24" ca="1">_xll.BSTRUCTURE("OV",STKAidSheet!$A$1,STKAidSheet!$B$1,STKAidSheet!$A$2,STKAidSheet!$B$2,STKAidSheet!$A$3,STKAidSheet!$B$3,STKAidSheet!$A$4,STKAidSheet!$B$4,STKAidSheet!$A$5,STKAidSheet!$B$5,STKAidSheet!$A$6,STKAidSheet!$B$6,$K$4,K24,$L$4,L24,$M$4,M24,$N$4,N24)</f>
        <v>OV 3848864532</v>
      </c>
      <c r="Q24" s="37">
        <f ca="1">_xll.BVIEW(AB24,"FwdDealPremium","HEADERS=N")</f>
        <v>0.17404294721320104</v>
      </c>
      <c r="R24" s="37">
        <f ca="1">_xll.BVIEW(AB24,"DV01","HEADERS=N")</f>
        <v>-88.588776071607853</v>
      </c>
      <c r="S24" s="37">
        <f ca="1">_xll.BVIEW(AB24,"Vega","HEADERS=N")</f>
        <v>436.25052538646099</v>
      </c>
      <c r="T24" s="37">
        <f t="shared" ca="1" si="17"/>
        <v>0.18188206996021419</v>
      </c>
      <c r="U24" s="19">
        <f t="shared" ca="1" si="18"/>
        <v>0.11247485626079257</v>
      </c>
      <c r="W24" s="87">
        <f t="shared" si="13"/>
        <v>6183944.1504814569</v>
      </c>
      <c r="X24" s="3">
        <v>7</v>
      </c>
      <c r="Y24" s="78">
        <f>VLOOKUP(X24*12,[1]Mortgage20Y_111!A$22:E$381,5,FALSE)</f>
        <v>6432161.1791371433</v>
      </c>
      <c r="Z24" s="80">
        <f t="shared" si="19"/>
        <v>6181980.4459098922</v>
      </c>
      <c r="AB24" s="3" t="str" cm="1">
        <f t="array" aca="1" ref="AB24" ca="1">_xll.BPRICE(P24,"MarketDate",$R$2,"ValuationDate",$R$1)</f>
        <v>PRICE GREEKS OV 1558150739</v>
      </c>
    </row>
    <row r="25" spans="1:28" ht="12.75" customHeight="1">
      <c r="B25" s="58"/>
      <c r="J25" s="34">
        <v>8</v>
      </c>
      <c r="K25" s="35">
        <f ca="1">LocalAddBusMonths($K$1,12*J25)</f>
        <v>48397</v>
      </c>
      <c r="L25" s="35">
        <f ca="1">LocalAddBusMonths(K25,12)</f>
        <v>48764</v>
      </c>
      <c r="M25" s="35">
        <f t="shared" ca="1" si="11"/>
        <v>48764</v>
      </c>
      <c r="N25" s="69">
        <f t="shared" si="16"/>
        <v>6.2229999999999999</v>
      </c>
      <c r="O25" s="87">
        <f t="shared" si="12"/>
        <v>5684684.141230965</v>
      </c>
      <c r="P25" s="3" t="str" cm="1">
        <f t="array" aca="1" ref="P25" ca="1">_xll.BSTRUCTURE("OV",STKAidSheet!$A$1,STKAidSheet!$B$1,STKAidSheet!$A$2,STKAidSheet!$B$2,STKAidSheet!$A$3,STKAidSheet!$B$3,STKAidSheet!$A$4,STKAidSheet!$B$4,STKAidSheet!$A$5,STKAidSheet!$B$5,STKAidSheet!$A$6,STKAidSheet!$B$6,$K$4,K25,$L$4,L25,$M$4,M25,$N$4,N25)</f>
        <v>OV 3715180486</v>
      </c>
      <c r="Q25" s="37">
        <f ca="1">_xll.BVIEW(AB25,"FwdDealPremium","HEADERS=N")</f>
        <v>0.20813344532358635</v>
      </c>
      <c r="R25" s="37">
        <f ca="1">_xll.BVIEW(AB25,"DV01","HEADERS=N")</f>
        <v>-94.475379170852563</v>
      </c>
      <c r="S25" s="37">
        <f ca="1">_xll.BVIEW(AB25,"Vega","HEADERS=N")</f>
        <v>491.84043179246089</v>
      </c>
      <c r="T25" s="37">
        <f t="shared" ca="1" si="17"/>
        <v>0.21702550016772704</v>
      </c>
      <c r="U25" s="19">
        <f t="shared" ca="1" si="18"/>
        <v>0.12337214190461962</v>
      </c>
      <c r="W25" s="87">
        <f t="shared" si="13"/>
        <v>5684684.141230965</v>
      </c>
      <c r="X25" s="3">
        <v>8</v>
      </c>
      <c r="Y25" s="78">
        <f>VLOOKUP(X25*12,[1]Mortgage20Y_111!A$22:E$381,5,FALSE)</f>
        <v>5931799.7126826411</v>
      </c>
      <c r="Z25" s="80">
        <f t="shared" si="19"/>
        <v>5682468.3944158517</v>
      </c>
      <c r="AB25" s="3" t="str" cm="1">
        <f t="array" aca="1" ref="AB25" ca="1">_xll.BPRICE(P25,"MarketDate",$R$2,"ValuationDate",$R$1)</f>
        <v>PRICE GREEKS OV 3870397798</v>
      </c>
    </row>
    <row r="26" spans="1:28" ht="12.75" customHeight="1">
      <c r="J26" s="34">
        <v>9</v>
      </c>
      <c r="K26" s="35">
        <f ca="1">LocalAddBusMonths($K$1,12*J26)</f>
        <v>48764</v>
      </c>
      <c r="L26" s="35">
        <f ca="1">LocalAddBusMonths(K26,12)</f>
        <v>49129</v>
      </c>
      <c r="M26" s="35">
        <f t="shared" ca="1" si="11"/>
        <v>49129</v>
      </c>
      <c r="N26" s="69">
        <f>$F$20</f>
        <v>6.2229999999999999</v>
      </c>
      <c r="O26" s="87">
        <f t="shared" si="12"/>
        <v>5186983.545179395</v>
      </c>
      <c r="P26" s="3" t="str" cm="1">
        <f t="array" aca="1" ref="P26" ca="1">_xll.BSTRUCTURE("OV",STKAidSheet!$A$1,STKAidSheet!$B$1,STKAidSheet!$A$2,STKAidSheet!$B$2,STKAidSheet!$A$3,STKAidSheet!$B$3,STKAidSheet!$A$4,STKAidSheet!$B$4,STKAidSheet!$A$5,STKAidSheet!$B$5,STKAidSheet!$A$6,STKAidSheet!$B$6,$K$4,K26,$L$4,L26,$M$4,M26,$N$4,N26)</f>
        <v>OV 1155219642</v>
      </c>
      <c r="Q26" s="37">
        <f ca="1">_xll.BVIEW(AB26,"FwdDealPremium","HEADERS=N")</f>
        <v>0.2367951815026543</v>
      </c>
      <c r="R26" s="37">
        <f ca="1">_xll.BVIEW(AB26,"DV01","HEADERS=N")</f>
        <v>-96.916217450468864</v>
      </c>
      <c r="S26" s="37">
        <f ca="1">_xll.BVIEW(AB26,"Vega","HEADERS=N")</f>
        <v>533.25223825911826</v>
      </c>
      <c r="T26" s="37">
        <f t="shared" ca="1" si="17"/>
        <v>0.24649106409333199</v>
      </c>
      <c r="U26" s="19">
        <f t="shared" ca="1" si="18"/>
        <v>0.12785450934858725</v>
      </c>
      <c r="W26" s="87">
        <f t="shared" si="13"/>
        <v>5186983.545179395</v>
      </c>
      <c r="X26" s="3">
        <v>9</v>
      </c>
      <c r="Y26" s="78">
        <f>VLOOKUP(X26*12,[1]Mortgage20Y_111!A$22:E$381,5,FALSE)</f>
        <v>5433137.0761490613</v>
      </c>
      <c r="Z26" s="80">
        <f t="shared" si="19"/>
        <v>5184550.1719791126</v>
      </c>
      <c r="AB26" s="3" t="str" cm="1">
        <f t="array" aca="1" ref="AB26" ca="1">_xll.BPRICE(P26,"MarketDate",$R$2,"ValuationDate",$R$1)</f>
        <v>PRICE GREEKS OV 4007533433</v>
      </c>
    </row>
    <row r="27" spans="1:28" ht="12.75" customHeight="1">
      <c r="B27" s="22"/>
      <c r="C27" s="55" t="s">
        <v>401</v>
      </c>
      <c r="D27" s="55" t="s">
        <v>402</v>
      </c>
      <c r="E27" s="55" t="s">
        <v>403</v>
      </c>
      <c r="F27" s="56" t="s">
        <v>404</v>
      </c>
      <c r="J27" s="34">
        <v>10</v>
      </c>
      <c r="K27" s="35">
        <f ca="1">LocalAddBusMonths($K$1,12*J27)</f>
        <v>49128</v>
      </c>
      <c r="L27" s="35">
        <f ca="1">LocalAddBusMonths(K27,12)</f>
        <v>49493</v>
      </c>
      <c r="M27" s="35">
        <f t="shared" ca="1" si="11"/>
        <v>49493</v>
      </c>
      <c r="N27" s="69">
        <f t="shared" si="16"/>
        <v>6.2229999999999999</v>
      </c>
      <c r="O27" s="87">
        <f t="shared" si="12"/>
        <v>4690622.1499575227</v>
      </c>
      <c r="P27" s="3" t="str" cm="1">
        <f t="array" aca="1" ref="P27" ca="1">_xll.BSTRUCTURE("OV",STKAidSheet!$A$1,STKAidSheet!$B$1,STKAidSheet!$A$2,STKAidSheet!$B$2,STKAidSheet!$A$3,STKAidSheet!$B$3,STKAidSheet!$A$4,STKAidSheet!$B$4,STKAidSheet!$A$5,STKAidSheet!$B$5,STKAidSheet!$A$6,STKAidSheet!$B$6,$K$4,K27,$L$4,L27,$M$4,M27,$N$4,N27)</f>
        <v>OV 3258713410</v>
      </c>
      <c r="Q27" s="37">
        <f ca="1">_xll.BVIEW(AB27,"FwdDealPremium","HEADERS=N")</f>
        <v>0.26147181544452458</v>
      </c>
      <c r="R27" s="37">
        <f ca="1">_xll.BVIEW(AB27,"DV01","HEADERS=N")</f>
        <v>-97.26689724359403</v>
      </c>
      <c r="S27" s="37">
        <f ca="1">_xll.BVIEW(AB27,"Vega","HEADERS=N")</f>
        <v>567.38467599575392</v>
      </c>
      <c r="T27" s="37">
        <f t="shared" ca="1" si="17"/>
        <v>0.27184683999200371</v>
      </c>
      <c r="U27" s="19">
        <f t="shared" ca="1" si="18"/>
        <v>0.12751308090624511</v>
      </c>
      <c r="W27" s="87">
        <f t="shared" si="13"/>
        <v>4690622.1499575227</v>
      </c>
      <c r="X27" s="3">
        <v>10</v>
      </c>
      <c r="Y27" s="78">
        <f>VLOOKUP(X27*12,[1]Mortgage20Y_111!A$22:E$381,5,FALSE)</f>
        <v>4935963.2678091638</v>
      </c>
      <c r="Z27" s="80">
        <f t="shared" si="19"/>
        <v>4688015.9198119622</v>
      </c>
      <c r="AB27" s="3" t="str" cm="1">
        <f t="array" aca="1" ref="AB27" ca="1">_xll.BPRICE(P27,"MarketDate",$R$2,"ValuationDate",$R$1)</f>
        <v>PRICE GREEKS OV 2918325742</v>
      </c>
    </row>
    <row r="28" spans="1:28" ht="12.75" customHeight="1" thickBot="1">
      <c r="B28" s="22" t="s">
        <v>405</v>
      </c>
      <c r="C28" s="22"/>
      <c r="D28" s="22"/>
      <c r="E28" s="22"/>
      <c r="F28" s="22"/>
      <c r="H28" s="74" t="s">
        <v>32</v>
      </c>
      <c r="J28" s="34">
        <v>11</v>
      </c>
      <c r="K28" s="35">
        <f ca="1">LocalAddBusMonths($K$1,12*J28)</f>
        <v>49492</v>
      </c>
      <c r="L28" s="35">
        <f ca="1">LocalAddBusMonths(K28,12)</f>
        <v>49858</v>
      </c>
      <c r="M28" s="35">
        <f t="shared" ca="1" si="11"/>
        <v>49858</v>
      </c>
      <c r="N28" s="69">
        <f t="shared" si="16"/>
        <v>6.2229999999999999</v>
      </c>
      <c r="O28" s="87">
        <f t="shared" si="12"/>
        <v>4195379.9068767317</v>
      </c>
      <c r="P28" s="3" t="str" cm="1">
        <f t="array" aca="1" ref="P28" ca="1">_xll.BSTRUCTURE("OV",STKAidSheet!$A$1,STKAidSheet!$B$1,STKAidSheet!$A$2,STKAidSheet!$B$2,STKAidSheet!$A$3,STKAidSheet!$B$3,STKAidSheet!$A$4,STKAidSheet!$B$4,STKAidSheet!$A$5,STKAidSheet!$B$5,STKAidSheet!$A$6,STKAidSheet!$B$6,$K$4,K28,$L$4,L28,$M$4,M28,$N$4,N28)</f>
        <v>OV 2571992512</v>
      </c>
      <c r="Q28" s="37">
        <f ca="1">_xll.BVIEW(AB28,"FwdDealPremium","HEADERS=N")</f>
        <v>0.29243811152625898</v>
      </c>
      <c r="R28" s="37">
        <f ca="1">_xll.BVIEW(AB28,"DV01","HEADERS=N")</f>
        <v>-97.931267543710419</v>
      </c>
      <c r="S28" s="37">
        <f ca="1">_xll.BVIEW(AB28,"Vega","HEADERS=N")</f>
        <v>602.61728451053818</v>
      </c>
      <c r="T28" s="37">
        <f t="shared" ca="1" si="17"/>
        <v>0.30351114454103262</v>
      </c>
      <c r="U28" s="19">
        <f t="shared" ca="1" si="18"/>
        <v>0.12733445573206079</v>
      </c>
      <c r="W28" s="87">
        <f t="shared" si="13"/>
        <v>4195379.9068767317</v>
      </c>
      <c r="X28" s="3">
        <v>11</v>
      </c>
      <c r="Y28" s="78">
        <f>VLOOKUP(X28*12,[1]Mortgage20Y_111!A$22:E$381,5,FALSE)</f>
        <v>4440068.5718147596</v>
      </c>
      <c r="Z28" s="80">
        <f t="shared" si="19"/>
        <v>4192656.0204902422</v>
      </c>
      <c r="AB28" s="3" t="str" cm="1">
        <f t="array" aca="1" ref="AB28" ca="1">_xll.BPRICE(P28,"MarketDate",$R$2,"ValuationDate",$R$1)</f>
        <v>PRICE GREEKS OV 3854021466</v>
      </c>
    </row>
    <row r="29" spans="1:28" ht="12.75" customHeight="1" thickBot="1">
      <c r="A29" s="3" t="s">
        <v>418</v>
      </c>
      <c r="B29" s="89" t="s">
        <v>406</v>
      </c>
      <c r="C29" s="94">
        <f>[2]Signaalrapport!C5</f>
        <v>6.27</v>
      </c>
      <c r="D29" s="94">
        <f>[2]Signaalrapport!D5</f>
        <v>3.360295861419599</v>
      </c>
      <c r="E29" s="94">
        <f>[2]Signaalrapport!E5</f>
        <v>-1.94</v>
      </c>
      <c r="F29" s="94">
        <f>[2]Signaalrapport!F5</f>
        <v>4.33</v>
      </c>
      <c r="J29" s="34">
        <v>12</v>
      </c>
      <c r="K29" s="35">
        <f ca="1">LocalAddBusMonths($K$1,12*J29)</f>
        <v>49858</v>
      </c>
      <c r="L29" s="35">
        <f ca="1">LocalAddBusMonths(K29,12)</f>
        <v>50223</v>
      </c>
      <c r="M29" s="35">
        <f t="shared" ca="1" si="11"/>
        <v>50223</v>
      </c>
      <c r="N29" s="69">
        <f t="shared" si="16"/>
        <v>6.2229999999999999</v>
      </c>
      <c r="O29" s="87">
        <f t="shared" si="12"/>
        <v>3701036.8325225255</v>
      </c>
      <c r="P29" s="3" t="str" cm="1">
        <f t="array" aca="1" ref="P29" ca="1">_xll.BSTRUCTURE("OV",STKAidSheet!$A$1,STKAidSheet!$B$1,STKAidSheet!$A$2,STKAidSheet!$B$2,STKAidSheet!$A$3,STKAidSheet!$B$3,STKAidSheet!$A$4,STKAidSheet!$B$4,STKAidSheet!$A$5,STKAidSheet!$B$5,STKAidSheet!$A$6,STKAidSheet!$B$6,$K$4,K29,$L$4,L29,$M$4,M29,$N$4,N29)</f>
        <v>OV 2558745590</v>
      </c>
      <c r="Q29" s="37">
        <f ca="1">_xll.BVIEW(AB29,"FwdDealPremium","HEADERS=N")</f>
        <v>0.3103088260141818</v>
      </c>
      <c r="R29" s="37">
        <f ca="1">_xll.BVIEW(AB29,"DV01","HEADERS=N")</f>
        <v>-94.489996555893967</v>
      </c>
      <c r="S29" s="37">
        <f ca="1">_xll.BVIEW(AB29,"Vega","HEADERS=N")</f>
        <v>621.73881723443048</v>
      </c>
      <c r="T29" s="37">
        <f t="shared" ca="1" si="17"/>
        <v>0.32179870239331149</v>
      </c>
      <c r="U29" s="19">
        <f t="shared" ca="1" si="18"/>
        <v>0.11909888502156003</v>
      </c>
      <c r="W29" s="87">
        <f t="shared" si="13"/>
        <v>3701036.8325225255</v>
      </c>
      <c r="X29" s="3">
        <v>12</v>
      </c>
      <c r="Y29" s="78">
        <f>VLOOKUP(X29*12,[1]Mortgage20Y_111!A$22:E$381,5,FALSE)</f>
        <v>3945243.4691657252</v>
      </c>
      <c r="Z29" s="80">
        <f t="shared" si="19"/>
        <v>3698261.0088902861</v>
      </c>
      <c r="AB29" s="3" t="str" cm="1">
        <f t="array" aca="1" ref="AB29" ca="1">_xll.BPRICE(P29,"MarketDate",$R$2,"ValuationDate",$R$1)</f>
        <v>PRICE GREEKS OV 3826530235</v>
      </c>
    </row>
    <row r="30" spans="1:28" ht="12.75" customHeight="1" thickBot="1">
      <c r="B30" s="90" t="s">
        <v>433</v>
      </c>
      <c r="C30" s="94">
        <f>[2]Signaalrapport!C6</f>
        <v>5.23</v>
      </c>
      <c r="D30" s="94">
        <f>[2]Signaalrapport!D6</f>
        <v>2.5449718449731664</v>
      </c>
      <c r="E30" s="94">
        <f>[2]Signaalrapport!E6</f>
        <v>-1.58</v>
      </c>
      <c r="F30" s="94">
        <f>[2]Signaalrapport!F6</f>
        <v>3.6500000000000004</v>
      </c>
      <c r="J30" s="34">
        <v>13</v>
      </c>
      <c r="K30" s="35">
        <f ca="1">LocalAddBusMonths($K$1,12*J30)</f>
        <v>50223</v>
      </c>
      <c r="L30" s="35">
        <f ca="1">LocalAddBusMonths(K30,12)</f>
        <v>50588</v>
      </c>
      <c r="M30" s="35">
        <f t="shared" ca="1" si="11"/>
        <v>50588</v>
      </c>
      <c r="N30" s="69">
        <f t="shared" si="16"/>
        <v>6.2229999999999999</v>
      </c>
      <c r="O30" s="87">
        <f t="shared" si="12"/>
        <v>3207372.9101819592</v>
      </c>
      <c r="P30" s="3" t="str" cm="1">
        <f t="array" aca="1" ref="P30" ca="1">_xll.BSTRUCTURE("OV",STKAidSheet!$A$1,STKAidSheet!$B$1,STKAidSheet!$A$2,STKAidSheet!$B$2,STKAidSheet!$A$3,STKAidSheet!$B$3,STKAidSheet!$A$4,STKAidSheet!$B$4,STKAidSheet!$A$5,STKAidSheet!$B$5,STKAidSheet!$A$6,STKAidSheet!$B$6,$K$4,K30,$L$4,L30,$M$4,M30,$N$4,N30)</f>
        <v>OV 2930772382</v>
      </c>
      <c r="Q30" s="37">
        <f ca="1">_xll.BVIEW(AB30,"FwdDealPremium","HEADERS=N")</f>
        <v>0.3392590531125233</v>
      </c>
      <c r="R30" s="37">
        <f ca="1">_xll.BVIEW(AB30,"DV01","HEADERS=N")</f>
        <v>-92.220684774317306</v>
      </c>
      <c r="S30" s="37">
        <f ca="1">_xll.BVIEW(AB30,"Vega","HEADERS=N")</f>
        <v>646.00941814524958</v>
      </c>
      <c r="T30" s="37">
        <f t="shared" ca="1" si="17"/>
        <v>0.35125703462768509</v>
      </c>
      <c r="U30" s="19">
        <f t="shared" ca="1" si="18"/>
        <v>0.11266122973756836</v>
      </c>
      <c r="W30" s="87">
        <f t="shared" si="13"/>
        <v>3207372.9101819592</v>
      </c>
      <c r="X30" s="3">
        <v>13</v>
      </c>
      <c r="Y30" s="78">
        <f>VLOOKUP(X30*12,[1]Mortgage20Y_111!A$22:E$381,5,FALSE)</f>
        <v>3451278.548614847</v>
      </c>
      <c r="Z30" s="80">
        <f t="shared" si="19"/>
        <v>3204621.4830425959</v>
      </c>
      <c r="AB30" s="3" t="str" cm="1">
        <f t="array" aca="1" ref="AB30" ca="1">_xll.BPRICE(P30,"MarketDate",$R$2,"ValuationDate",$R$1)</f>
        <v>PRICE GREEKS OV 3880313503</v>
      </c>
    </row>
    <row r="31" spans="1:28" ht="12.75" customHeight="1" thickBot="1">
      <c r="B31" s="90" t="s">
        <v>434</v>
      </c>
      <c r="C31" s="94">
        <f>[2]Signaalrapport!C7</f>
        <v>5.23</v>
      </c>
      <c r="D31" s="94">
        <f>[2]Signaalrapport!D7</f>
        <v>2.5187488537535914</v>
      </c>
      <c r="E31" s="94">
        <f>[2]Signaalrapport!E7</f>
        <v>-1.65</v>
      </c>
      <c r="F31" s="94">
        <f>[2]Signaalrapport!F7</f>
        <v>3.5800000000000005</v>
      </c>
      <c r="J31" s="34">
        <v>14</v>
      </c>
      <c r="K31" s="35">
        <f ca="1">LocalAddBusMonths($K$1,12*J31)</f>
        <v>50588</v>
      </c>
      <c r="L31" s="35">
        <f ca="1">LocalAddBusMonths(K31,12)</f>
        <v>50955</v>
      </c>
      <c r="M31" s="35">
        <f t="shared" ca="1" si="11"/>
        <v>50955</v>
      </c>
      <c r="N31" s="69">
        <f t="shared" si="16"/>
        <v>6.2229999999999999</v>
      </c>
      <c r="O31" s="87">
        <f t="shared" si="12"/>
        <v>2714167.9910604316</v>
      </c>
      <c r="P31" s="3" t="str" cm="1">
        <f t="array" aca="1" ref="P31" ca="1">_xll.BSTRUCTURE("OV",STKAidSheet!$A$1,STKAidSheet!$B$1,STKAidSheet!$A$2,STKAidSheet!$B$2,STKAidSheet!$A$3,STKAidSheet!$B$3,STKAidSheet!$A$4,STKAidSheet!$B$4,STKAidSheet!$A$5,STKAidSheet!$B$5,STKAidSheet!$A$6,STKAidSheet!$B$6,$K$4,K31,$L$4,L31,$M$4,M31,$N$4,N31)</f>
        <v>OV 3707793869</v>
      </c>
      <c r="Q31" s="37">
        <f ca="1">_xll.BVIEW(AB31,"FwdDealPremium","HEADERS=N")</f>
        <v>0.36873987968169947</v>
      </c>
      <c r="R31" s="37">
        <f ca="1">_xll.BVIEW(AB31,"DV01","HEADERS=N")</f>
        <v>-89.655858364706006</v>
      </c>
      <c r="S31" s="37">
        <f ca="1">_xll.BVIEW(AB31,"Vega","HEADERS=N")</f>
        <v>669.91479664618726</v>
      </c>
      <c r="T31" s="37">
        <f t="shared" ca="1" si="17"/>
        <v>0.38124161703097614</v>
      </c>
      <c r="U31" s="19">
        <f t="shared" ca="1" si="18"/>
        <v>0.10347537938055949</v>
      </c>
      <c r="W31" s="87">
        <f t="shared" si="13"/>
        <v>2714167.9910604316</v>
      </c>
      <c r="X31" s="3">
        <v>14</v>
      </c>
      <c r="Y31" s="78">
        <f>VLOOKUP(X31*12,[1]Mortgage20Y_111!A$22:E$381,5,FALSE)</f>
        <v>2957964.4174703448</v>
      </c>
      <c r="Z31" s="80">
        <f t="shared" si="19"/>
        <v>2711528.0148640973</v>
      </c>
      <c r="AB31" s="3" t="str" cm="1">
        <f t="array" aca="1" ref="AB31" ca="1">_xll.BPRICE(P31,"MarketDate",$R$2,"ValuationDate",$R$1)</f>
        <v>PRICE GREEKS OV 2329866571</v>
      </c>
    </row>
    <row r="32" spans="1:28" ht="12.75" customHeight="1" thickBot="1">
      <c r="B32" s="90" t="s">
        <v>435</v>
      </c>
      <c r="C32" s="94">
        <f>[2]Signaalrapport!C8</f>
        <v>5.23</v>
      </c>
      <c r="D32" s="94">
        <f>[2]Signaalrapport!D8</f>
        <v>2.5077452165485559</v>
      </c>
      <c r="E32" s="94">
        <f>[2]Signaalrapport!E8</f>
        <v>-1.66</v>
      </c>
      <c r="F32" s="94">
        <f>[2]Signaalrapport!F8</f>
        <v>3.5700000000000003</v>
      </c>
      <c r="J32" s="34">
        <v>15</v>
      </c>
      <c r="K32" s="35">
        <f ca="1">LocalAddBusMonths($K$1,12*J32)</f>
        <v>50955</v>
      </c>
      <c r="L32" s="35">
        <f ca="1">LocalAddBusMonths(K32,12)</f>
        <v>51321</v>
      </c>
      <c r="M32" s="35">
        <f t="shared" ca="1" si="11"/>
        <v>51321</v>
      </c>
      <c r="N32" s="69">
        <f t="shared" si="16"/>
        <v>6.2229999999999999</v>
      </c>
      <c r="O32" s="87">
        <f t="shared" si="12"/>
        <v>2221201.6952431025</v>
      </c>
      <c r="P32" s="3" t="str" cm="1">
        <f t="array" aca="1" ref="P32" ca="1">_xll.BSTRUCTURE("OV",STKAidSheet!$A$1,STKAidSheet!$B$1,STKAidSheet!$A$2,STKAidSheet!$B$2,STKAidSheet!$A$3,STKAidSheet!$B$3,STKAidSheet!$A$4,STKAidSheet!$B$4,STKAidSheet!$A$5,STKAidSheet!$B$5,STKAidSheet!$A$6,STKAidSheet!$B$6,$K$4,K32,$L$4,L32,$M$4,M32,$N$4,N32)</f>
        <v>OV 4282085775</v>
      </c>
      <c r="Q32" s="37">
        <f ca="1">_xll.BVIEW(AB32,"FwdDealPremium","HEADERS=N")</f>
        <v>0.32209050923373489</v>
      </c>
      <c r="R32" s="37">
        <f ca="1">_xll.BVIEW(AB32,"DV01","HEADERS=N")</f>
        <v>-71.538524533443891</v>
      </c>
      <c r="S32" s="37">
        <f ca="1">_xll.BVIEW(AB32,"Vega","HEADERS=N")</f>
        <v>620.95832237251875</v>
      </c>
      <c r="T32" s="37">
        <f t="shared" ca="1" si="17"/>
        <v>0.33379429043585085</v>
      </c>
      <c r="U32" s="19">
        <f t="shared" ca="1" si="18"/>
        <v>7.4142444377858052E-2</v>
      </c>
      <c r="W32" s="87">
        <f t="shared" si="13"/>
        <v>2221201.6952431025</v>
      </c>
      <c r="X32" s="3">
        <v>15</v>
      </c>
      <c r="Y32" s="78">
        <f>VLOOKUP(X32*12,[1]Mortgage20Y_111!A$22:E$381,5,FALSE)</f>
        <v>2465091.6122578499</v>
      </c>
      <c r="Z32" s="80">
        <f t="shared" si="19"/>
        <v>2218771.0607306538</v>
      </c>
      <c r="AB32" s="3" t="str" cm="1">
        <f t="array" aca="1" ref="AB32" ca="1">_xll.BPRICE(P32,"MarketDate",$R$2,"ValuationDate",$R$1)</f>
        <v>PRICE GREEKS OV 2702559049</v>
      </c>
    </row>
    <row r="33" spans="2:28" ht="12.75" customHeight="1" thickBot="1">
      <c r="B33" s="91" t="s">
        <v>436</v>
      </c>
      <c r="C33" s="94">
        <f>[2]Signaalrapport!C9</f>
        <v>5.25</v>
      </c>
      <c r="D33" s="94">
        <f>[2]Signaalrapport!D9</f>
        <v>2.5018092282127609</v>
      </c>
      <c r="E33" s="94">
        <f>[2]Signaalrapport!E9</f>
        <v>-1.08</v>
      </c>
      <c r="F33" s="94">
        <f>[2]Signaalrapport!F9</f>
        <v>4.17</v>
      </c>
      <c r="J33" s="34">
        <v>16</v>
      </c>
      <c r="K33" s="35">
        <f ca="1">LocalAddBusMonths($K$1,12*J33)</f>
        <v>51319</v>
      </c>
      <c r="L33" s="35">
        <f ca="1">LocalAddBusMonths(K33,12)</f>
        <v>51684</v>
      </c>
      <c r="M33" s="35">
        <f t="shared" ca="1" si="11"/>
        <v>51684</v>
      </c>
      <c r="N33" s="69">
        <f t="shared" si="16"/>
        <v>6.2229999999999999</v>
      </c>
      <c r="O33" s="87">
        <f t="shared" si="12"/>
        <v>1728253.3123559833</v>
      </c>
      <c r="P33" s="3" t="str" cm="1">
        <f t="array" aca="1" ref="P33" ca="1">_xll.BSTRUCTURE("OV",STKAidSheet!$A$1,STKAidSheet!$B$1,STKAidSheet!$A$2,STKAidSheet!$B$2,STKAidSheet!$A$3,STKAidSheet!$B$3,STKAidSheet!$A$4,STKAidSheet!$B$4,STKAidSheet!$A$5,STKAidSheet!$B$5,STKAidSheet!$A$6,STKAidSheet!$B$6,$K$4,K33,$L$4,L33,$M$4,M33,$N$4,N33)</f>
        <v>OV 3311721236</v>
      </c>
      <c r="Q33" s="37">
        <f ca="1">_xll.BVIEW(AB33,"FwdDealPremium","HEADERS=N")</f>
        <v>0.34277109630764568</v>
      </c>
      <c r="R33" s="37">
        <f ca="1">_xll.BVIEW(AB33,"DV01","HEADERS=N")</f>
        <v>-68.401533640279922</v>
      </c>
      <c r="S33" s="37">
        <f ca="1">_xll.BVIEW(AB33,"Vega","HEADERS=N")</f>
        <v>637.30882004289424</v>
      </c>
      <c r="T33" s="37">
        <f t="shared" ca="1" si="17"/>
        <v>0.35483325737210075</v>
      </c>
      <c r="U33" s="19">
        <f t="shared" ca="1" si="18"/>
        <v>6.1324175238739627E-2</v>
      </c>
      <c r="W33" s="87">
        <f t="shared" si="13"/>
        <v>1728253.3123559833</v>
      </c>
      <c r="X33" s="3">
        <v>16</v>
      </c>
      <c r="Y33" s="78">
        <f>VLOOKUP(X33*12,[1]Mortgage20Y_111!A$22:E$381,5,FALSE)</f>
        <v>1972450.5092034577</v>
      </c>
      <c r="Z33" s="80">
        <f t="shared" si="19"/>
        <v>1726140.8718514165</v>
      </c>
      <c r="AB33" s="3" t="str" cm="1">
        <f t="array" aca="1" ref="AB33" ca="1">_xll.BPRICE(P33,"MarketDate",$R$2,"ValuationDate",$R$1)</f>
        <v>PRICE GREEKS OV 4158858654</v>
      </c>
    </row>
    <row r="34" spans="2:28" ht="12.75" customHeight="1" thickBot="1">
      <c r="B34" s="91" t="s">
        <v>407</v>
      </c>
      <c r="C34" s="94">
        <f>[2]Signaalrapport!C10</f>
        <v>5.14</v>
      </c>
      <c r="D34" s="94">
        <f>[2]Signaalrapport!D10</f>
        <v>2.5268439152801316</v>
      </c>
      <c r="E34" s="94">
        <f>[2]Signaalrapport!E10</f>
        <v>-2</v>
      </c>
      <c r="F34" s="94">
        <f>[2]Signaalrapport!F10</f>
        <v>3.1399999999999997</v>
      </c>
      <c r="J34" s="34">
        <v>17</v>
      </c>
      <c r="K34" s="35">
        <f ca="1">LocalAddBusMonths($K$1,12*J34)</f>
        <v>51684</v>
      </c>
      <c r="L34" s="35">
        <f ca="1">LocalAddBusMonths(K34,12)</f>
        <v>52049</v>
      </c>
      <c r="M34" s="35">
        <f t="shared" ca="1" si="11"/>
        <v>52049</v>
      </c>
      <c r="N34" s="69">
        <f t="shared" si="16"/>
        <v>6.2229999999999999</v>
      </c>
      <c r="O34" s="87">
        <f t="shared" si="12"/>
        <v>1235101.7018815391</v>
      </c>
      <c r="P34" s="3" t="str" cm="1">
        <f t="array" aca="1" ref="P34" ca="1">_xll.BSTRUCTURE("OV",STKAidSheet!$A$1,STKAidSheet!$B$1,STKAidSheet!$A$2,STKAidSheet!$B$2,STKAidSheet!$A$3,STKAidSheet!$B$3,STKAidSheet!$A$4,STKAidSheet!$B$4,STKAidSheet!$A$5,STKAidSheet!$B$5,STKAidSheet!$A$6,STKAidSheet!$B$6,$K$4,K34,$L$4,L34,$M$4,M34,$N$4,N34)</f>
        <v>OV 4130507329</v>
      </c>
      <c r="Q34" s="37">
        <f ca="1">_xll.BVIEW(AB34,"FwdDealPremium","HEADERS=N")</f>
        <v>0.3632555144159384</v>
      </c>
      <c r="R34" s="37">
        <f ca="1">_xll.BVIEW(AB34,"DV01","HEADERS=N")</f>
        <v>-65.343951475052194</v>
      </c>
      <c r="S34" s="37">
        <f ca="1">_xll.BVIEW(AB34,"Vega","HEADERS=N")</f>
        <v>652.03830965573479</v>
      </c>
      <c r="T34" s="37">
        <f t="shared" ca="1" si="17"/>
        <v>0.37564284109430257</v>
      </c>
      <c r="U34" s="19">
        <f t="shared" ca="1" si="18"/>
        <v>4.6395711233518967E-2</v>
      </c>
      <c r="W34" s="87">
        <f t="shared" si="13"/>
        <v>1235101.7018815391</v>
      </c>
      <c r="X34" s="3">
        <v>17</v>
      </c>
      <c r="Y34" s="78">
        <f>VLOOKUP(X34*12,[1]Mortgage20Y_111!A$22:E$381,5,FALSE)</f>
        <v>1479831.2344993753</v>
      </c>
      <c r="Z34" s="80">
        <f t="shared" si="19"/>
        <v>1233427.4044064255</v>
      </c>
      <c r="AB34" s="3" t="str" cm="1">
        <f t="array" aca="1" ref="AB34" ca="1">_xll.BPRICE(P34,"MarketDate",$R$2,"ValuationDate",$R$1)</f>
        <v>PRICE GREEKS OV 3074544585</v>
      </c>
    </row>
    <row r="35" spans="2:28" ht="12.75" customHeight="1" thickBot="1">
      <c r="B35" s="91" t="s">
        <v>408</v>
      </c>
      <c r="C35" s="94">
        <f>[2]Signaalrapport!C11</f>
        <v>5.47</v>
      </c>
      <c r="D35" s="94">
        <f>[2]Signaalrapport!D11</f>
        <v>2.5259967952078721</v>
      </c>
      <c r="E35" s="94">
        <f>[2]Signaalrapport!E11</f>
        <v>-0.32</v>
      </c>
      <c r="F35" s="94">
        <f>[2]Signaalrapport!F11</f>
        <v>5.1499999999999995</v>
      </c>
      <c r="J35" s="34">
        <v>18</v>
      </c>
      <c r="K35" s="35">
        <f ca="1">LocalAddBusMonths($K$1,12*J35)</f>
        <v>52049</v>
      </c>
      <c r="L35" s="35">
        <f ca="1">LocalAddBusMonths(K35,12)</f>
        <v>52414</v>
      </c>
      <c r="M35" s="35">
        <f t="shared" ca="1" si="11"/>
        <v>52414</v>
      </c>
      <c r="N35" s="69">
        <f t="shared" si="16"/>
        <v>6.2229999999999999</v>
      </c>
      <c r="O35" s="87">
        <f t="shared" si="12"/>
        <v>741525.1930833871</v>
      </c>
      <c r="P35" s="3" t="str" cm="1">
        <f t="array" aca="1" ref="P35" ca="1">_xll.BSTRUCTURE("OV",STKAidSheet!$A$1,STKAidSheet!$B$1,STKAidSheet!$A$2,STKAidSheet!$B$2,STKAidSheet!$A$3,STKAidSheet!$B$3,STKAidSheet!$A$4,STKAidSheet!$B$4,STKAidSheet!$A$5,STKAidSheet!$B$5,STKAidSheet!$A$6,STKAidSheet!$B$6,$K$4,K35,$L$4,L35,$M$4,M35,$N$4,N35)</f>
        <v>OV 4050946604</v>
      </c>
      <c r="Q35" s="37">
        <f ca="1">_xll.BVIEW(AB35,"FwdDealPremium","HEADERS=N")</f>
        <v>0.38246268076336082</v>
      </c>
      <c r="R35" s="37">
        <f ca="1">_xll.BVIEW(AB35,"DV01","HEADERS=N")</f>
        <v>-62.006177086780554</v>
      </c>
      <c r="S35" s="37">
        <f ca="1">_xll.BVIEW(AB35,"Vega","HEADERS=N")</f>
        <v>664.43620092650167</v>
      </c>
      <c r="T35" s="37">
        <f t="shared" ca="1" si="17"/>
        <v>0.39513134301102304</v>
      </c>
      <c r="U35" s="19">
        <f t="shared" ca="1" si="18"/>
        <v>2.9299984541954691E-2</v>
      </c>
      <c r="W35" s="87">
        <f t="shared" si="13"/>
        <v>741525.1930833871</v>
      </c>
      <c r="X35" s="3">
        <v>18</v>
      </c>
      <c r="Y35" s="78">
        <f>VLOOKUP(X35*12,[1]Mortgage20Y_111!A$22:E$381,5,FALSE)</f>
        <v>987023.57431347575</v>
      </c>
      <c r="Z35" s="80">
        <f t="shared" si="19"/>
        <v>740420.22940871166</v>
      </c>
      <c r="AB35" s="3" t="str" cm="1">
        <f t="array" aca="1" ref="AB35" ca="1">_xll.BPRICE(P35,"MarketDate",$R$2,"ValuationDate",$R$1)</f>
        <v>PRICE GREEKS OV 3356423794</v>
      </c>
    </row>
    <row r="36" spans="2:28" ht="12.75" customHeight="1" thickBot="1">
      <c r="B36" s="91" t="s">
        <v>409</v>
      </c>
      <c r="C36" s="94">
        <f>[2]Signaalrapport!C12</f>
        <v>5.2</v>
      </c>
      <c r="D36" s="94">
        <f>[2]Signaalrapport!D12</f>
        <v>2.5867226043033784</v>
      </c>
      <c r="E36" s="94">
        <f>[2]Signaalrapport!E12</f>
        <v>-1.96</v>
      </c>
      <c r="F36" s="94">
        <f>[2]Signaalrapport!F12</f>
        <v>3.24</v>
      </c>
      <c r="J36" s="34">
        <v>19</v>
      </c>
      <c r="K36" s="35">
        <f ca="1">LocalAddBusMonths($K$1,12*J36)</f>
        <v>52414</v>
      </c>
      <c r="L36" s="35">
        <f ca="1">LocalAddBusMonths(K36,12)</f>
        <v>52782</v>
      </c>
      <c r="M36" s="35">
        <f t="shared" ca="1" si="11"/>
        <v>52782</v>
      </c>
      <c r="N36" s="69">
        <f t="shared" si="16"/>
        <v>6.2229999999999999</v>
      </c>
      <c r="O36" s="87">
        <f t="shared" si="12"/>
        <v>247301.48449442096</v>
      </c>
      <c r="P36" s="3" t="str" cm="1">
        <f t="array" aca="1" ref="P36" ca="1">_xll.BSTRUCTURE("OV",STKAidSheet!$A$1,STKAidSheet!$B$1,STKAidSheet!$A$2,STKAidSheet!$B$2,STKAidSheet!$A$3,STKAidSheet!$B$3,STKAidSheet!$A$4,STKAidSheet!$B$4,STKAidSheet!$A$5,STKAidSheet!$B$5,STKAidSheet!$A$6,STKAidSheet!$B$6,$K$4,K36,$L$4,L36,$M$4,M36,$N$4,N36)</f>
        <v>OV 3489328994</v>
      </c>
      <c r="Q36" s="37">
        <f ca="1">_xll.BVIEW(AB36,"FwdDealPremium","HEADERS=N")</f>
        <v>0.40343642679260222</v>
      </c>
      <c r="R36" s="37">
        <f ca="1">_xll.BVIEW(AB36,"DV01","HEADERS=N")</f>
        <v>-59.179141857134709</v>
      </c>
      <c r="S36" s="37">
        <f ca="1">_xll.BVIEW(AB36,"Vega","HEADERS=N")</f>
        <v>678.99710847303083</v>
      </c>
      <c r="T36" s="37">
        <f t="shared" ca="1" si="17"/>
        <v>0.41642457754349149</v>
      </c>
      <c r="U36" s="19">
        <f t="shared" ca="1" si="18"/>
        <v>1.0298241620646756E-2</v>
      </c>
      <c r="W36" s="87">
        <f t="shared" si="13"/>
        <v>247301.48449442096</v>
      </c>
      <c r="X36" s="3">
        <v>19</v>
      </c>
      <c r="Y36" s="78">
        <f>VLOOKUP(X36*12,[1]Mortgage20Y_111!A$22:E$381,5,FALSE)</f>
        <v>493816.88450394757</v>
      </c>
      <c r="Z36" s="81">
        <f>Y36/2</f>
        <v>246908.44225197379</v>
      </c>
      <c r="AB36" s="3" t="str" cm="1">
        <f t="array" aca="1" ref="AB36" ca="1">_xll.BPRICE(P36,"MarketDate",$R$2,"ValuationDate",$R$1)</f>
        <v>PRICE GREEKS OV 3918240805</v>
      </c>
    </row>
    <row r="37" spans="2:28" ht="12.75" customHeight="1" thickBot="1">
      <c r="B37" s="91" t="s">
        <v>410</v>
      </c>
      <c r="C37" s="94">
        <f>[2]Signaalrapport!C13</f>
        <v>5.55</v>
      </c>
      <c r="D37" s="94">
        <f>[2]Signaalrapport!D13</f>
        <v>2.5913726075931462</v>
      </c>
      <c r="E37" s="94">
        <f>[2]Signaalrapport!E13</f>
        <v>-1.75</v>
      </c>
      <c r="F37" s="94">
        <f>[2]Signaalrapport!F13</f>
        <v>3.8</v>
      </c>
      <c r="J37" s="34">
        <v>20</v>
      </c>
      <c r="M37" s="35"/>
      <c r="N37" s="70"/>
      <c r="O37" s="88"/>
      <c r="Q37" s="37"/>
      <c r="R37" s="26"/>
      <c r="S37" s="26"/>
      <c r="T37" s="37"/>
      <c r="U37" s="19"/>
      <c r="W37" s="88"/>
    </row>
    <row r="38" spans="2:28" ht="12.75" customHeight="1" thickBot="1">
      <c r="B38" s="91" t="s">
        <v>411</v>
      </c>
      <c r="C38" s="94">
        <f>[2]Signaalrapport!C14</f>
        <v>5.19</v>
      </c>
      <c r="D38" s="94">
        <f>[2]Signaalrapport!D14</f>
        <v>2.533743058249605</v>
      </c>
      <c r="E38" s="94">
        <f>[2]Signaalrapport!E14</f>
        <v>-1.9</v>
      </c>
      <c r="F38" s="94">
        <f>[2]Signaalrapport!F14</f>
        <v>3.2900000000000005</v>
      </c>
      <c r="I38" s="27">
        <v>15</v>
      </c>
      <c r="J38" s="34">
        <v>1</v>
      </c>
      <c r="K38" s="35">
        <f ca="1">LocalAddBusMonths($K$1,12*J38)</f>
        <v>45840</v>
      </c>
      <c r="L38" s="35">
        <f ca="1">LocalAddBusMonths(K38,12)</f>
        <v>46205</v>
      </c>
      <c r="M38" s="35">
        <f t="shared" ca="1" si="11"/>
        <v>46205</v>
      </c>
      <c r="N38" s="69">
        <f t="shared" ref="N38:N51" si="20">$F$19</f>
        <v>4.8151193962947945</v>
      </c>
      <c r="O38" s="87">
        <f t="shared" ref="O38:O51" si="21">(($K$2+CUMPRINC($D$19%,$E$19,$K$2,1,(1*12*$J38),0))*((1-$K$3)^(1*$J38))+($K$2+CUMPRINC($D$19%,$E$19,$K$2,1,(1*12*($J38+1)),0))*((1-$K$3)^(1*($J38+1))))/2</f>
        <v>8833020.9494684823</v>
      </c>
      <c r="P38" s="3" t="str" cm="1">
        <f t="array" aca="1" ref="P38" ca="1">_xll.BSTRUCTURE("OV",STKAidSheet!$A$1,STKAidSheet!$B$1,STKAidSheet!$A$2,STKAidSheet!$B$2,STKAidSheet!$A$3,STKAidSheet!$B$3,STKAidSheet!$A$4,STKAidSheet!$B$4,STKAidSheet!$A$5,STKAidSheet!$B$5,STKAidSheet!$A$6,STKAidSheet!$B$6,$K$4,K38,$L$4,L38,$M$4,M38,$N$4,N38)</f>
        <v>OV 1892815705</v>
      </c>
      <c r="Q38" s="37">
        <f ca="1">_xll.BVIEW(AB38,"FwdDealPremium","HEADERS=N")</f>
        <v>9.9278644684512533E-3</v>
      </c>
      <c r="R38" s="37">
        <f ca="1">_xll.BVIEW(AB38,"DV01","HEADERS=N")</f>
        <v>-24.647667221400262</v>
      </c>
      <c r="S38" s="37">
        <f ca="1">_xll.BVIEW(AB38,"Vega","HEADERS=N")</f>
        <v>57.311526587654896</v>
      </c>
      <c r="T38" s="37">
        <f t="shared" ca="1" si="17"/>
        <v>1.0827618327990349E-2</v>
      </c>
      <c r="U38" s="19">
        <f t="shared" ca="1" si="18"/>
        <v>9.5640579523987648E-3</v>
      </c>
      <c r="W38" s="87">
        <f t="shared" ref="W38:W51" si="22">(($K$2+CUMPRINC($D$19%,$E$19,$K$2,1,(1*12*$J38),0))*((1-$K$3)^(1*$J38))+($K$2+CUMPRINC($D$19%,$E$19,$K$2,1,(1*12*($J38+1)),0))*((1-$K$3)^(1*($J38+1))))/2</f>
        <v>8833020.9494684823</v>
      </c>
      <c r="X38" s="3">
        <v>1</v>
      </c>
      <c r="Y38" s="78">
        <f>VLOOKUP(X38*12,[1]Mortgage15Y_111!A$22:E$381,5,FALSE)</f>
        <v>9219293.4893376548</v>
      </c>
      <c r="Z38" s="80">
        <f>(Y38+Y39)/2</f>
        <v>8837819.2547814194</v>
      </c>
      <c r="AB38" s="3" t="str" cm="1">
        <f t="array" aca="1" ref="AB38" ca="1">_xll.BPRICE(P38,"MarketDate",$R$2,"ValuationDate",$R$1)</f>
        <v>PRICE GREEKS OV 3867223488</v>
      </c>
    </row>
    <row r="39" spans="2:28" ht="12.75" customHeight="1" thickBot="1">
      <c r="B39" s="91" t="s">
        <v>412</v>
      </c>
      <c r="C39" s="94">
        <f>[2]Signaalrapport!C15</f>
        <v>5.22</v>
      </c>
      <c r="D39" s="94">
        <f>[2]Signaalrapport!D15</f>
        <v>2.5360061806442213</v>
      </c>
      <c r="E39" s="94">
        <f>[2]Signaalrapport!E15</f>
        <v>-1.87</v>
      </c>
      <c r="F39" s="94">
        <f>[2]Signaalrapport!F15</f>
        <v>3.3499999999999996</v>
      </c>
      <c r="J39" s="34">
        <v>2</v>
      </c>
      <c r="K39" s="35">
        <f ca="1">LocalAddBusMonths($K$1,12*J39)</f>
        <v>46205</v>
      </c>
      <c r="L39" s="35">
        <f ca="1">LocalAddBusMonths(K39,12)</f>
        <v>46570</v>
      </c>
      <c r="M39" s="35">
        <f t="shared" ca="1" si="11"/>
        <v>46570</v>
      </c>
      <c r="N39" s="69">
        <f t="shared" si="20"/>
        <v>4.8151193962947945</v>
      </c>
      <c r="O39" s="87">
        <f t="shared" si="21"/>
        <v>8076218.6459764056</v>
      </c>
      <c r="P39" s="3" t="str" cm="1">
        <f t="array" aca="1" ref="P39" ca="1">_xll.BSTRUCTURE("OV",STKAidSheet!$A$1,STKAidSheet!$B$1,STKAidSheet!$A$2,STKAidSheet!$B$2,STKAidSheet!$A$3,STKAidSheet!$B$3,STKAidSheet!$A$4,STKAidSheet!$B$4,STKAidSheet!$A$5,STKAidSheet!$B$5,STKAidSheet!$A$6,STKAidSheet!$B$6,$K$4,K39,$L$4,L39,$M$4,M39,$N$4,N39)</f>
        <v>OV 3961927257</v>
      </c>
      <c r="Q39" s="37">
        <f ca="1">_xll.BVIEW(AB39,"FwdDealPremium","HEADERS=N")</f>
        <v>5.1769343265395867E-2</v>
      </c>
      <c r="R39" s="37">
        <f ca="1">_xll.BVIEW(AB39,"DV01","HEADERS=N")</f>
        <v>-69.52310267588318</v>
      </c>
      <c r="S39" s="37">
        <f ca="1">_xll.BVIEW(AB39,"Vega","HEADERS=N")</f>
        <v>188.39008042185912</v>
      </c>
      <c r="T39" s="37">
        <f t="shared" ca="1" si="17"/>
        <v>5.4841913847074215E-2</v>
      </c>
      <c r="U39" s="19">
        <f t="shared" ca="1" si="18"/>
        <v>4.4291528719277239E-2</v>
      </c>
      <c r="W39" s="87">
        <f t="shared" si="22"/>
        <v>8076218.6459764056</v>
      </c>
      <c r="X39" s="3">
        <v>2</v>
      </c>
      <c r="Y39" s="78">
        <f>VLOOKUP(X39*12,[1]Mortgage15Y_111!A$22:E$381,5,FALSE)</f>
        <v>8456345.020225184</v>
      </c>
      <c r="Z39" s="80">
        <f>(Y39+Y40)/2</f>
        <v>8083570.3908585068</v>
      </c>
      <c r="AB39" s="3" t="str" cm="1">
        <f t="array" aca="1" ref="AB39" ca="1">_xll.BPRICE(P39,"MarketDate",$R$2,"ValuationDate",$R$1)</f>
        <v>PRICE GREEKS OV 4100091334</v>
      </c>
    </row>
    <row r="40" spans="2:28" ht="12.75" customHeight="1" thickBot="1">
      <c r="B40" s="91" t="s">
        <v>413</v>
      </c>
      <c r="C40" s="94">
        <f>[2]Signaalrapport!C16</f>
        <v>5.16</v>
      </c>
      <c r="D40" s="94">
        <f>[2]Signaalrapport!D16</f>
        <v>2.5578898341003327</v>
      </c>
      <c r="E40" s="94">
        <f>[2]Signaalrapport!E16</f>
        <v>-1.9</v>
      </c>
      <c r="F40" s="94">
        <f>[2]Signaalrapport!F16</f>
        <v>3.2600000000000002</v>
      </c>
      <c r="J40" s="34">
        <v>3</v>
      </c>
      <c r="K40" s="35">
        <f ca="1">LocalAddBusMonths($K$1,12*J40)</f>
        <v>46570</v>
      </c>
      <c r="L40" s="35">
        <f ca="1">LocalAddBusMonths(K40,12)</f>
        <v>46937</v>
      </c>
      <c r="M40" s="35">
        <f t="shared" ca="1" si="11"/>
        <v>46937</v>
      </c>
      <c r="N40" s="69">
        <f t="shared" si="20"/>
        <v>4.8151193962947945</v>
      </c>
      <c r="O40" s="87">
        <f t="shared" si="21"/>
        <v>7337172.3093045875</v>
      </c>
      <c r="P40" s="3" t="str" cm="1">
        <f t="array" aca="1" ref="P40" ca="1">_xll.BSTRUCTURE("OV",STKAidSheet!$A$1,STKAidSheet!$B$1,STKAidSheet!$A$2,STKAidSheet!$B$2,STKAidSheet!$A$3,STKAidSheet!$B$3,STKAidSheet!$A$4,STKAidSheet!$B$4,STKAidSheet!$A$5,STKAidSheet!$B$5,STKAidSheet!$A$6,STKAidSheet!$B$6,$K$4,K40,$L$4,L40,$M$4,M40,$N$4,N40)</f>
        <v>OV 2557877462</v>
      </c>
      <c r="Q40" s="37">
        <f ca="1">_xll.BVIEW(AB40,"FwdDealPremium","HEADERS=N")</f>
        <v>0.10636600270574213</v>
      </c>
      <c r="R40" s="37">
        <f ca="1">_xll.BVIEW(AB40,"DV01","HEADERS=N")</f>
        <v>-102.35484508818664</v>
      </c>
      <c r="S40" s="37">
        <f ca="1">_xll.BVIEW(AB40,"Vega","HEADERS=N")</f>
        <v>308.87573898574772</v>
      </c>
      <c r="T40" s="37">
        <f t="shared" ca="1" si="17"/>
        <v>0.11151996903457523</v>
      </c>
      <c r="U40" s="19">
        <f t="shared" ca="1" si="18"/>
        <v>8.1824122873499036E-2</v>
      </c>
      <c r="W40" s="87">
        <f t="shared" si="22"/>
        <v>7337172.3093045875</v>
      </c>
      <c r="X40" s="3">
        <v>3</v>
      </c>
      <c r="Y40" s="78">
        <f>VLOOKUP(X40*12,[1]Mortgage15Y_111!A$22:E$381,5,FALSE)</f>
        <v>7710795.7614918305</v>
      </c>
      <c r="Z40" s="80">
        <f t="shared" ref="Z40:Z50" si="23">(Y40+Y41)/2</f>
        <v>7346544.8663243847</v>
      </c>
      <c r="AB40" s="3" t="str" cm="1">
        <f t="array" aca="1" ref="AB40" ca="1">_xll.BPRICE(P40,"MarketDate",$R$2,"ValuationDate",$R$1)</f>
        <v>PRICE GREEKS OV 1903648150</v>
      </c>
    </row>
    <row r="41" spans="2:28" ht="12.75" customHeight="1" thickBot="1">
      <c r="B41" s="91" t="s">
        <v>414</v>
      </c>
      <c r="C41" s="94">
        <f>[2]Signaalrapport!C17</f>
        <v>5.18</v>
      </c>
      <c r="D41" s="94">
        <f>[2]Signaalrapport!D17</f>
        <v>2.5736451134945928</v>
      </c>
      <c r="E41" s="94">
        <f>[2]Signaalrapport!E17</f>
        <v>-1.77</v>
      </c>
      <c r="F41" s="94">
        <f>[2]Signaalrapport!F17</f>
        <v>3.4099999999999997</v>
      </c>
      <c r="J41" s="34">
        <v>4</v>
      </c>
      <c r="K41" s="35">
        <f ca="1">LocalAddBusMonths($K$1,12*J41)</f>
        <v>46937</v>
      </c>
      <c r="L41" s="35">
        <f ca="1">LocalAddBusMonths(K41,12)</f>
        <v>47302</v>
      </c>
      <c r="M41" s="35">
        <f t="shared" ca="1" si="11"/>
        <v>47302</v>
      </c>
      <c r="N41" s="69">
        <f>$F$19</f>
        <v>4.8151193962947945</v>
      </c>
      <c r="O41" s="87">
        <f t="shared" si="21"/>
        <v>6615514.9885545094</v>
      </c>
      <c r="P41" s="3" t="str" cm="1">
        <f t="array" aca="1" ref="P41" ca="1">_xll.BSTRUCTURE("OV",STKAidSheet!$A$1,STKAidSheet!$B$1,STKAidSheet!$A$2,STKAidSheet!$B$2,STKAidSheet!$A$3,STKAidSheet!$B$3,STKAidSheet!$A$4,STKAidSheet!$B$4,STKAidSheet!$A$5,STKAidSheet!$B$5,STKAidSheet!$A$6,STKAidSheet!$B$6,$K$4,K41,$L$4,L41,$M$4,M41,$N$4,N41)</f>
        <v>OV 3156192546</v>
      </c>
      <c r="Q41" s="37">
        <f ca="1">_xll.BVIEW(AB41,"FwdDealPremium","HEADERS=N")</f>
        <v>0.16244589877967491</v>
      </c>
      <c r="R41" s="37">
        <f ca="1">_xll.BVIEW(AB41,"DV01","HEADERS=N")</f>
        <v>-124.75144230604083</v>
      </c>
      <c r="S41" s="37">
        <f ca="1">_xll.BVIEW(AB41,"Vega","HEADERS=N")</f>
        <v>410.2407017636902</v>
      </c>
      <c r="T41" s="37">
        <f t="shared" ca="1" si="17"/>
        <v>0.1694031983918883</v>
      </c>
      <c r="U41" s="19">
        <f t="shared" ca="1" si="18"/>
        <v>0.11206893980706104</v>
      </c>
      <c r="W41" s="87">
        <f t="shared" si="22"/>
        <v>6615514.9885545094</v>
      </c>
      <c r="X41" s="3">
        <v>4</v>
      </c>
      <c r="Y41" s="78">
        <f>VLOOKUP(X41*12,[1]Mortgage15Y_111!A$22:E$381,5,FALSE)</f>
        <v>6982293.9711569389</v>
      </c>
      <c r="Z41" s="80">
        <f t="shared" si="23"/>
        <v>6626394.4140911708</v>
      </c>
      <c r="AB41" s="3" t="str" cm="1">
        <f t="array" aca="1" ref="AB41" ca="1">_xll.BPRICE(P41,"MarketDate",$R$2,"ValuationDate",$R$1)</f>
        <v>PRICE GREEKS OV 2024155092</v>
      </c>
    </row>
    <row r="42" spans="2:28" ht="12.75" customHeight="1" thickBot="1">
      <c r="B42" s="91" t="s">
        <v>415</v>
      </c>
      <c r="C42" s="94">
        <f>[2]Signaalrapport!C18</f>
        <v>5.15</v>
      </c>
      <c r="D42" s="94">
        <f>[2]Signaalrapport!D18</f>
        <v>2.5807902808146523</v>
      </c>
      <c r="E42" s="94">
        <f>[2]Signaalrapport!E18</f>
        <v>-1.89</v>
      </c>
      <c r="F42" s="94">
        <f>[2]Signaalrapport!F18</f>
        <v>3.2600000000000007</v>
      </c>
      <c r="J42" s="34">
        <v>5</v>
      </c>
      <c r="K42" s="35">
        <f ca="1">LocalAddBusMonths($K$1,12*J42)</f>
        <v>47301</v>
      </c>
      <c r="L42" s="35">
        <f ca="1">LocalAddBusMonths(K42,12)</f>
        <v>47666</v>
      </c>
      <c r="M42" s="35">
        <f t="shared" ca="1" si="11"/>
        <v>47666</v>
      </c>
      <c r="N42" s="69">
        <f t="shared" si="20"/>
        <v>4.8151193962947945</v>
      </c>
      <c r="O42" s="87">
        <f t="shared" si="21"/>
        <v>5910887.1252769642</v>
      </c>
      <c r="P42" s="3" t="str" cm="1">
        <f t="array" aca="1" ref="P42" ca="1">_xll.BSTRUCTURE("OV",STKAidSheet!$A$1,STKAidSheet!$B$1,STKAidSheet!$A$2,STKAidSheet!$B$2,STKAidSheet!$A$3,STKAidSheet!$B$3,STKAidSheet!$A$4,STKAidSheet!$B$4,STKAidSheet!$A$5,STKAidSheet!$B$5,STKAidSheet!$A$6,STKAidSheet!$B$6,$K$4,K42,$L$4,L42,$M$4,M42,$N$4,N42)</f>
        <v>OV 3166971310</v>
      </c>
      <c r="Q42" s="37">
        <f ca="1">_xll.BVIEW(AB42,"FwdDealPremium","HEADERS=N")</f>
        <v>0.21938183525827554</v>
      </c>
      <c r="R42" s="37">
        <f ca="1">_xll.BVIEW(AB42,"DV01","HEADERS=N")</f>
        <v>-141.53528015390893</v>
      </c>
      <c r="S42" s="37">
        <f ca="1">_xll.BVIEW(AB42,"Vega","HEADERS=N")</f>
        <v>499.28802596348174</v>
      </c>
      <c r="T42" s="37">
        <f t="shared" ca="1" si="17"/>
        <v>0.22795224297600608</v>
      </c>
      <c r="U42" s="19">
        <f t="shared" ca="1" si="18"/>
        <v>0.13473999781848806</v>
      </c>
      <c r="W42" s="87">
        <f t="shared" si="22"/>
        <v>5910887.1252769642</v>
      </c>
      <c r="X42" s="3">
        <v>5</v>
      </c>
      <c r="Y42" s="78">
        <f>VLOOKUP(X42*12,[1]Mortgage15Y_111!A$22:E$381,5,FALSE)</f>
        <v>6270494.8570254026</v>
      </c>
      <c r="Z42" s="80">
        <f t="shared" si="23"/>
        <v>5922777.6485235412</v>
      </c>
      <c r="AB42" s="3" t="str" cm="1">
        <f t="array" aca="1" ref="AB42" ca="1">_xll.BPRICE(P42,"MarketDate",$R$2,"ValuationDate",$R$1)</f>
        <v>PRICE GREEKS OV 3995423815</v>
      </c>
    </row>
    <row r="43" spans="2:28" ht="12.75" customHeight="1" thickBot="1">
      <c r="B43" s="91" t="s">
        <v>416</v>
      </c>
      <c r="C43" s="94">
        <f>[2]Signaalrapport!C19</f>
        <v>5.2</v>
      </c>
      <c r="D43" s="94">
        <f>[2]Signaalrapport!D19</f>
        <v>2.5750924366539274</v>
      </c>
      <c r="E43" s="94">
        <f>[2]Signaalrapport!E19</f>
        <v>-1.87</v>
      </c>
      <c r="F43" s="94">
        <f>[2]Signaalrapport!F19</f>
        <v>3.33</v>
      </c>
      <c r="J43" s="34">
        <v>6</v>
      </c>
      <c r="K43" s="35">
        <f ca="1">LocalAddBusMonths($K$1,12*J43)</f>
        <v>47666</v>
      </c>
      <c r="L43" s="35">
        <f ca="1">LocalAddBusMonths(K43,12)</f>
        <v>48031</v>
      </c>
      <c r="M43" s="35">
        <f t="shared" ca="1" si="11"/>
        <v>48031</v>
      </c>
      <c r="N43" s="69">
        <f t="shared" si="20"/>
        <v>4.8151193962947945</v>
      </c>
      <c r="O43" s="87">
        <f t="shared" si="21"/>
        <v>5222936.4053817661</v>
      </c>
      <c r="P43" s="3" t="str" cm="1">
        <f t="array" aca="1" ref="P43" ca="1">_xll.BSTRUCTURE("OV",STKAidSheet!$A$1,STKAidSheet!$B$1,STKAidSheet!$A$2,STKAidSheet!$B$2,STKAidSheet!$A$3,STKAidSheet!$B$3,STKAidSheet!$A$4,STKAidSheet!$B$4,STKAidSheet!$A$5,STKAidSheet!$B$5,STKAidSheet!$A$6,STKAidSheet!$B$6,$K$4,K43,$L$4,L43,$M$4,M43,$N$4,N43)</f>
        <v>OV 2002069825</v>
      </c>
      <c r="Q43" s="37">
        <f ca="1">_xll.BVIEW(AB43,"FwdDealPremium","HEADERS=N")</f>
        <v>0.27319714535337353</v>
      </c>
      <c r="R43" s="37">
        <f ca="1">_xll.BVIEW(AB43,"DV01","HEADERS=N")</f>
        <v>-151.74428318202791</v>
      </c>
      <c r="S43" s="37">
        <f ca="1">_xll.BVIEW(AB43,"Vega","HEADERS=N")</f>
        <v>572.68944048521917</v>
      </c>
      <c r="T43" s="37">
        <f t="shared" ca="1" si="17"/>
        <v>0.28313349133125765</v>
      </c>
      <c r="U43" s="19">
        <f t="shared" ca="1" si="18"/>
        <v>0.14787882194568683</v>
      </c>
      <c r="W43" s="87">
        <f t="shared" si="22"/>
        <v>5222936.4053817661</v>
      </c>
      <c r="X43" s="3">
        <v>6</v>
      </c>
      <c r="Y43" s="78">
        <f>VLOOKUP(X43*12,[1]Mortgage15Y_111!A$22:E$381,5,FALSE)</f>
        <v>5575060.4400216797</v>
      </c>
      <c r="Z43" s="80">
        <f t="shared" si="23"/>
        <v>5235359.9301151782</v>
      </c>
      <c r="AB43" s="3" t="str" cm="1">
        <f t="array" aca="1" ref="AB43" ca="1">_xll.BPRICE(P43,"MarketDate",$R$2,"ValuationDate",$R$1)</f>
        <v>PRICE GREEKS OV 4038409147</v>
      </c>
    </row>
    <row r="44" spans="2:28" ht="12.75" customHeight="1" thickBot="1">
      <c r="B44" s="91" t="s">
        <v>417</v>
      </c>
      <c r="C44" s="94">
        <f>[2]Signaalrapport!C20</f>
        <v>5.28</v>
      </c>
      <c r="D44" s="94">
        <f>[2]Signaalrapport!D20</f>
        <v>2.5506648227218087</v>
      </c>
      <c r="E44" s="94">
        <f>[2]Signaalrapport!E20</f>
        <v>-1.85</v>
      </c>
      <c r="F44" s="94">
        <f>[2]Signaalrapport!F20</f>
        <v>3.43</v>
      </c>
      <c r="J44" s="34">
        <v>7</v>
      </c>
      <c r="K44" s="35">
        <f ca="1">LocalAddBusMonths($K$1,12*J44)</f>
        <v>48031</v>
      </c>
      <c r="L44" s="35">
        <f ca="1">LocalAddBusMonths(K44,12)</f>
        <v>48397</v>
      </c>
      <c r="M44" s="35">
        <f t="shared" ca="1" si="11"/>
        <v>48397</v>
      </c>
      <c r="N44" s="69">
        <f t="shared" si="20"/>
        <v>4.8151193962947945</v>
      </c>
      <c r="O44" s="87">
        <f t="shared" si="21"/>
        <v>4551317.6140103638</v>
      </c>
      <c r="P44" s="3" t="str" cm="1">
        <f t="array" aca="1" ref="P44" ca="1">_xll.BSTRUCTURE("OV",STKAidSheet!$A$1,STKAidSheet!$B$1,STKAidSheet!$A$2,STKAidSheet!$B$2,STKAidSheet!$A$3,STKAidSheet!$B$3,STKAidSheet!$A$4,STKAidSheet!$B$4,STKAidSheet!$A$5,STKAidSheet!$B$5,STKAidSheet!$A$6,STKAidSheet!$B$6,$K$4,K44,$L$4,L44,$M$4,M44,$N$4,N44)</f>
        <v>OV 3568141933</v>
      </c>
      <c r="Q44" s="37">
        <f ca="1">_xll.BVIEW(AB44,"FwdDealPremium","HEADERS=N")</f>
        <v>0.32939487113451094</v>
      </c>
      <c r="R44" s="37">
        <f ca="1">_xll.BVIEW(AB44,"DV01","HEADERS=N")</f>
        <v>-160.27540093861373</v>
      </c>
      <c r="S44" s="37">
        <f ca="1">_xll.BVIEW(AB44,"Vega","HEADERS=N")</f>
        <v>639.94217997125554</v>
      </c>
      <c r="T44" s="37">
        <f t="shared" ca="1" si="17"/>
        <v>0.34059096072454992</v>
      </c>
      <c r="U44" s="19">
        <f t="shared" ca="1" si="18"/>
        <v>0.1550137638718356</v>
      </c>
      <c r="W44" s="87">
        <f t="shared" si="22"/>
        <v>4551317.6140103638</v>
      </c>
      <c r="X44" s="3">
        <v>7</v>
      </c>
      <c r="Y44" s="78">
        <f>VLOOKUP(X44*12,[1]Mortgage15Y_111!A$22:E$381,5,FALSE)</f>
        <v>4895659.4202086776</v>
      </c>
      <c r="Z44" s="80">
        <f t="shared" si="23"/>
        <v>4563813.2328236885</v>
      </c>
      <c r="AB44" s="3" t="str" cm="1">
        <f t="array" aca="1" ref="AB44" ca="1">_xll.BPRICE(P44,"MarketDate",$R$2,"ValuationDate",$R$1)</f>
        <v>PRICE GREEKS OV 3430389766</v>
      </c>
    </row>
    <row r="45" spans="2:28" ht="12.75" customHeight="1">
      <c r="B45" s="99" t="s">
        <v>441</v>
      </c>
      <c r="C45" s="94">
        <f>[2]Signaalrapport!C21</f>
        <v>5.5</v>
      </c>
      <c r="D45" s="94">
        <f>[2]Signaalrapport!D21</f>
        <v>2.7246634508562106</v>
      </c>
      <c r="E45" s="94">
        <f>[2]Signaalrapport!E21</f>
        <v>-1.03</v>
      </c>
      <c r="F45" s="94">
        <f>[2]Signaalrapport!F21</f>
        <v>4.47</v>
      </c>
      <c r="J45" s="34">
        <v>8</v>
      </c>
      <c r="K45" s="35">
        <f ca="1">LocalAddBusMonths($K$1,12*J45)</f>
        <v>48397</v>
      </c>
      <c r="L45" s="35">
        <f ca="1">LocalAddBusMonths(K45,12)</f>
        <v>48764</v>
      </c>
      <c r="M45" s="35">
        <f t="shared" ca="1" si="11"/>
        <v>48764</v>
      </c>
      <c r="N45" s="69">
        <f t="shared" si="20"/>
        <v>4.8151193962947945</v>
      </c>
      <c r="O45" s="87">
        <f t="shared" si="21"/>
        <v>3895692.4933120897</v>
      </c>
      <c r="P45" s="3" t="str" cm="1">
        <f t="array" aca="1" ref="P45" ca="1">_xll.BSTRUCTURE("OV",STKAidSheet!$A$1,STKAidSheet!$B$1,STKAidSheet!$A$2,STKAidSheet!$B$2,STKAidSheet!$A$3,STKAidSheet!$B$3,STKAidSheet!$A$4,STKAidSheet!$B$4,STKAidSheet!$A$5,STKAidSheet!$B$5,STKAidSheet!$A$6,STKAidSheet!$B$6,$K$4,K45,$L$4,L45,$M$4,M45,$N$4,N45)</f>
        <v>OV 3826283368</v>
      </c>
      <c r="Q45" s="37">
        <f ca="1">_xll.BVIEW(AB45,"FwdDealPremium","HEADERS=N")</f>
        <v>0.38293970310611281</v>
      </c>
      <c r="R45" s="37">
        <f ca="1">_xll.BVIEW(AB45,"DV01","HEADERS=N")</f>
        <v>-165.17173715156568</v>
      </c>
      <c r="S45" s="37">
        <f ca="1">_xll.BVIEW(AB45,"Vega","HEADERS=N")</f>
        <v>698.04712684786568</v>
      </c>
      <c r="T45" s="37">
        <f t="shared" ca="1" si="17"/>
        <v>0.39524892827155444</v>
      </c>
      <c r="U45" s="19">
        <f t="shared" ca="1" si="18"/>
        <v>0.15397682828571432</v>
      </c>
      <c r="W45" s="87">
        <f t="shared" si="22"/>
        <v>3895692.4933120897</v>
      </c>
      <c r="X45" s="3">
        <v>8</v>
      </c>
      <c r="Y45" s="78">
        <f>VLOOKUP(X45*12,[1]Mortgage15Y_111!A$22:E$381,5,FALSE)</f>
        <v>4231967.0454386985</v>
      </c>
      <c r="Z45" s="80">
        <f t="shared" si="23"/>
        <v>3907816.0140117519</v>
      </c>
      <c r="AB45" s="3" t="str" cm="1">
        <f t="array" aca="1" ref="AB45" ca="1">_xll.BPRICE(P45,"MarketDate",$R$2,"ValuationDate",$R$1)</f>
        <v>PRICE GREEKS OV 2542596339</v>
      </c>
    </row>
    <row r="46" spans="2:28" ht="12.75" customHeight="1">
      <c r="B46" s="58" t="s">
        <v>584</v>
      </c>
      <c r="C46" s="110">
        <v>4.87</v>
      </c>
      <c r="D46" s="110">
        <v>2.67</v>
      </c>
      <c r="E46" s="110">
        <v>-1.7512347271203326</v>
      </c>
      <c r="F46" s="110">
        <f>C46+E46</f>
        <v>3.1187652728796675</v>
      </c>
      <c r="J46" s="34">
        <v>9</v>
      </c>
      <c r="K46" s="35">
        <f ca="1">LocalAddBusMonths($K$1,12*J46)</f>
        <v>48764</v>
      </c>
      <c r="L46" s="35">
        <f ca="1">LocalAddBusMonths(K46,12)</f>
        <v>49129</v>
      </c>
      <c r="M46" s="35">
        <f t="shared" ca="1" si="11"/>
        <v>49129</v>
      </c>
      <c r="N46" s="69">
        <f t="shared" si="20"/>
        <v>4.8151193962947945</v>
      </c>
      <c r="O46" s="87">
        <f t="shared" si="21"/>
        <v>3255729.6030659564</v>
      </c>
      <c r="P46" s="3" t="str" cm="1">
        <f t="array" aca="1" ref="P46" ca="1">_xll.BSTRUCTURE("OV",STKAidSheet!$A$1,STKAidSheet!$B$1,STKAidSheet!$A$2,STKAidSheet!$B$2,STKAidSheet!$A$3,STKAidSheet!$B$3,STKAidSheet!$A$4,STKAidSheet!$B$4,STKAidSheet!$A$5,STKAidSheet!$B$5,STKAidSheet!$A$6,STKAidSheet!$B$6,$K$4,K46,$L$4,L46,$M$4,M46,$N$4,N46)</f>
        <v>OV 2534069453</v>
      </c>
      <c r="Q46" s="37">
        <f ca="1">_xll.BVIEW(AB46,"FwdDealPremium","HEADERS=N")</f>
        <v>0.42760202630364791</v>
      </c>
      <c r="R46" s="37">
        <f ca="1">_xll.BVIEW(AB46,"DV01","HEADERS=N")</f>
        <v>-165.04701991475631</v>
      </c>
      <c r="S46" s="37">
        <f ca="1">_xll.BVIEW(AB46,"Vega","HEADERS=N")</f>
        <v>738.30286466883524</v>
      </c>
      <c r="T46" s="37">
        <f t="shared" ca="1" si="17"/>
        <v>0.44071761339787707</v>
      </c>
      <c r="U46" s="19">
        <f t="shared" ca="1" si="18"/>
        <v>0.14348573805320458</v>
      </c>
      <c r="W46" s="87">
        <f t="shared" si="22"/>
        <v>3255729.6030659564</v>
      </c>
      <c r="X46" s="3">
        <v>9</v>
      </c>
      <c r="Y46" s="78">
        <f>VLOOKUP(X46*12,[1]Mortgage15Y_111!A$22:E$381,5,FALSE)</f>
        <v>3583664.9825848048</v>
      </c>
      <c r="Z46" s="80">
        <f t="shared" si="23"/>
        <v>3267053.0869433475</v>
      </c>
      <c r="AB46" s="3" t="str" cm="1">
        <f t="array" aca="1" ref="AB46" ca="1">_xll.BPRICE(P46,"MarketDate",$R$2,"ValuationDate",$R$1)</f>
        <v>PRICE GREEKS OV 4238195416</v>
      </c>
    </row>
    <row r="47" spans="2:28" ht="12.75" customHeight="1">
      <c r="B47" s="62" t="s">
        <v>420</v>
      </c>
      <c r="C47" s="61" t="s">
        <v>419</v>
      </c>
      <c r="D47" s="95">
        <f>F20%</f>
        <v>6.2230000000000001E-2</v>
      </c>
      <c r="E47" s="96">
        <f ca="1">G20</f>
        <v>17.614384114493603</v>
      </c>
      <c r="F47" s="3" t="s">
        <v>583</v>
      </c>
      <c r="J47" s="34">
        <v>10</v>
      </c>
      <c r="K47" s="35">
        <f ca="1">LocalAddBusMonths($K$1,12*J47)</f>
        <v>49128</v>
      </c>
      <c r="L47" s="35">
        <f ca="1">LocalAddBusMonths(K47,12)</f>
        <v>49493</v>
      </c>
      <c r="M47" s="35">
        <f t="shared" ca="1" si="11"/>
        <v>49493</v>
      </c>
      <c r="N47" s="69">
        <f t="shared" si="20"/>
        <v>4.8151193962947945</v>
      </c>
      <c r="O47" s="87">
        <f t="shared" si="21"/>
        <v>2631104.1840911014</v>
      </c>
      <c r="P47" s="3" t="str" cm="1">
        <f t="array" aca="1" ref="P47" ca="1">_xll.BSTRUCTURE("OV",STKAidSheet!$A$1,STKAidSheet!$B$1,STKAidSheet!$A$2,STKAidSheet!$B$2,STKAidSheet!$A$3,STKAidSheet!$B$3,STKAidSheet!$A$4,STKAidSheet!$B$4,STKAidSheet!$A$5,STKAidSheet!$B$5,STKAidSheet!$A$6,STKAidSheet!$B$6,$K$4,K47,$L$4,L47,$M$4,M47,$N$4,N47)</f>
        <v>OV 2974493464</v>
      </c>
      <c r="Q47" s="37">
        <f ca="1">_xll.BVIEW(AB47,"FwdDealPremium","HEADERS=N")</f>
        <v>0.4659829829623614</v>
      </c>
      <c r="R47" s="37">
        <f ca="1">_xll.BVIEW(AB47,"DV01","HEADERS=N")</f>
        <v>-162.20960290921832</v>
      </c>
      <c r="S47" s="37">
        <f ca="1">_xll.BVIEW(AB47,"Vega","HEADERS=N")</f>
        <v>771.52468142847374</v>
      </c>
      <c r="T47" s="37">
        <f t="shared" ca="1" si="17"/>
        <v>0.47979138056183868</v>
      </c>
      <c r="U47" s="19">
        <f t="shared" ca="1" si="18"/>
        <v>0.12623811088870998</v>
      </c>
      <c r="W47" s="87">
        <f t="shared" si="22"/>
        <v>2631104.1840911014</v>
      </c>
      <c r="X47" s="3">
        <v>10</v>
      </c>
      <c r="Y47" s="78">
        <f>VLOOKUP(X47*12,[1]Mortgage15Y_111!A$22:E$381,5,FALSE)</f>
        <v>2950441.1913018902</v>
      </c>
      <c r="Z47" s="80">
        <f t="shared" si="23"/>
        <v>2641215.4957848326</v>
      </c>
      <c r="AB47" s="3" t="str" cm="1">
        <f t="array" aca="1" ref="AB47" ca="1">_xll.BPRICE(P47,"MarketDate",$R$2,"ValuationDate",$R$1)</f>
        <v>PRICE GREEKS OV 4244961762</v>
      </c>
    </row>
    <row r="48" spans="2:28" ht="12.75" customHeight="1">
      <c r="B48" s="60" t="s">
        <v>421</v>
      </c>
      <c r="C48" s="61" t="s">
        <v>422</v>
      </c>
      <c r="D48" s="95">
        <f>F5%</f>
        <v>5.9046473782542436E-2</v>
      </c>
      <c r="E48" s="96">
        <f>G5</f>
        <v>3.0331550430465306</v>
      </c>
      <c r="J48" s="34">
        <v>11</v>
      </c>
      <c r="K48" s="35">
        <f ca="1">LocalAddBusMonths($K$1,12*J48)</f>
        <v>49492</v>
      </c>
      <c r="L48" s="35">
        <f ca="1">LocalAddBusMonths(K48,12)</f>
        <v>49858</v>
      </c>
      <c r="M48" s="35">
        <f t="shared" ca="1" si="11"/>
        <v>49858</v>
      </c>
      <c r="N48" s="69">
        <f t="shared" si="20"/>
        <v>4.8151193962947945</v>
      </c>
      <c r="O48" s="87">
        <f t="shared" si="21"/>
        <v>2021498.0243900861</v>
      </c>
      <c r="P48" s="3" t="str" cm="1">
        <f t="array" aca="1" ref="P48" ca="1">_xll.BSTRUCTURE("OV",STKAidSheet!$A$1,STKAidSheet!$B$1,STKAidSheet!$A$2,STKAidSheet!$B$2,STKAidSheet!$A$3,STKAidSheet!$B$3,STKAidSheet!$A$4,STKAidSheet!$B$4,STKAidSheet!$A$5,STKAidSheet!$B$5,STKAidSheet!$A$6,STKAidSheet!$B$6,$K$4,K48,$L$4,L48,$M$4,M48,$N$4,N48)</f>
        <v>OV 3047648221</v>
      </c>
      <c r="Q48" s="37">
        <f ca="1">_xll.BVIEW(AB48,"FwdDealPremium","HEADERS=N")</f>
        <v>0.50802526071866394</v>
      </c>
      <c r="R48" s="37">
        <f ca="1">_xll.BVIEW(AB48,"DV01","HEADERS=N")</f>
        <v>-159.14231004130562</v>
      </c>
      <c r="S48" s="37">
        <f ca="1">_xll.BVIEW(AB48,"Vega","HEADERS=N")</f>
        <v>801.55614826820306</v>
      </c>
      <c r="T48" s="37">
        <f t="shared" ca="1" si="17"/>
        <v>0.52246496058361491</v>
      </c>
      <c r="U48" s="19">
        <f t="shared" ca="1" si="18"/>
        <v>0.10561618856328217</v>
      </c>
      <c r="W48" s="87">
        <f t="shared" si="22"/>
        <v>2021498.0243900861</v>
      </c>
      <c r="X48" s="3">
        <v>11</v>
      </c>
      <c r="Y48" s="78">
        <f>VLOOKUP(X48*12,[1]Mortgage15Y_111!A$22:E$381,5,FALSE)</f>
        <v>2331989.8002677751</v>
      </c>
      <c r="Z48" s="80">
        <f t="shared" si="23"/>
        <v>2030000.3930617035</v>
      </c>
      <c r="AB48" s="3" t="str" cm="1">
        <f t="array" aca="1" ref="AB48" ca="1">_xll.BPRICE(P48,"MarketDate",$R$2,"ValuationDate",$R$1)</f>
        <v>PRICE GREEKS OV 1513553221</v>
      </c>
    </row>
    <row r="49" spans="1:28" ht="12.75" customHeight="1">
      <c r="A49" s="59"/>
      <c r="B49" s="60" t="s">
        <v>421</v>
      </c>
      <c r="C49" s="61" t="s">
        <v>423</v>
      </c>
      <c r="D49" s="95">
        <f>F6%</f>
        <v>5.8861298460807863E-2</v>
      </c>
      <c r="E49" s="96">
        <f ca="1">G6</f>
        <v>7.2527903014262716</v>
      </c>
      <c r="J49" s="34">
        <v>12</v>
      </c>
      <c r="K49" s="35">
        <f ca="1">LocalAddBusMonths($K$1,12*J49)</f>
        <v>49858</v>
      </c>
      <c r="L49" s="35">
        <f ca="1">LocalAddBusMonths(K49,12)</f>
        <v>50223</v>
      </c>
      <c r="M49" s="35">
        <f t="shared" ca="1" si="11"/>
        <v>50223</v>
      </c>
      <c r="N49" s="69">
        <f t="shared" si="20"/>
        <v>4.8151193962947945</v>
      </c>
      <c r="O49" s="87">
        <f t="shared" si="21"/>
        <v>1426599.3279703935</v>
      </c>
      <c r="P49" s="3" t="str" cm="1">
        <f t="array" aca="1" ref="P49" ca="1">_xll.BSTRUCTURE("OV",STKAidSheet!$A$1,STKAidSheet!$B$1,STKAidSheet!$A$2,STKAidSheet!$B$2,STKAidSheet!$A$3,STKAidSheet!$B$3,STKAidSheet!$A$4,STKAidSheet!$B$4,STKAidSheet!$A$5,STKAidSheet!$B$5,STKAidSheet!$A$6,STKAidSheet!$B$6,$K$4,K49,$L$4,L49,$M$4,M49,$N$4,N49)</f>
        <v>OV 1135475517</v>
      </c>
      <c r="Q49" s="37">
        <f ca="1">_xll.BVIEW(AB49,"FwdDealPremium","HEADERS=N")</f>
        <v>0.52972603364309911</v>
      </c>
      <c r="R49" s="37">
        <f ca="1">_xll.BVIEW(AB49,"DV01","HEADERS=N")</f>
        <v>-150.87581475020633</v>
      </c>
      <c r="S49" s="37">
        <f ca="1">_xll.BVIEW(AB49,"Vega","HEADERS=N")</f>
        <v>817.27385529170954</v>
      </c>
      <c r="T49" s="37">
        <f t="shared" ca="1" si="17"/>
        <v>0.54456275260143128</v>
      </c>
      <c r="U49" s="19">
        <f t="shared" ca="1" si="18"/>
        <v>7.7687285689890945E-2</v>
      </c>
      <c r="W49" s="87">
        <f t="shared" si="22"/>
        <v>1426599.3279703935</v>
      </c>
      <c r="X49" s="3">
        <v>12</v>
      </c>
      <c r="Y49" s="78">
        <f>VLOOKUP(X49*12,[1]Mortgage15Y_111!A$22:E$381,5,FALSE)</f>
        <v>1728010.985855632</v>
      </c>
      <c r="Z49" s="80">
        <f t="shared" si="23"/>
        <v>1433110.9195227996</v>
      </c>
      <c r="AB49" s="3" t="str" cm="1">
        <f t="array" aca="1" ref="AB49" ca="1">_xll.BPRICE(P49,"MarketDate",$R$2,"ValuationDate",$R$1)</f>
        <v>PRICE GREEKS OV 3483859391</v>
      </c>
    </row>
    <row r="50" spans="1:28" ht="12.75" customHeight="1">
      <c r="B50" s="60" t="s">
        <v>421</v>
      </c>
      <c r="C50" s="61" t="s">
        <v>419</v>
      </c>
      <c r="D50" s="95">
        <f>F7%</f>
        <v>5.8781963995996528E-2</v>
      </c>
      <c r="E50" s="96">
        <f ca="1">G7</f>
        <v>11.433221053735041</v>
      </c>
      <c r="J50" s="34">
        <v>13</v>
      </c>
      <c r="K50" s="35">
        <f ca="1">LocalAddBusMonths($K$1,12*J50)</f>
        <v>50223</v>
      </c>
      <c r="L50" s="35">
        <f ca="1">LocalAddBusMonths(K50,12)</f>
        <v>50588</v>
      </c>
      <c r="M50" s="35">
        <f t="shared" ca="1" si="11"/>
        <v>50588</v>
      </c>
      <c r="N50" s="69">
        <f t="shared" si="20"/>
        <v>4.8151193962947945</v>
      </c>
      <c r="O50" s="87">
        <f t="shared" si="21"/>
        <v>846102.58629056392</v>
      </c>
      <c r="P50" s="3" t="str" cm="1">
        <f t="array" aca="1" ref="P50" ca="1">_xll.BSTRUCTURE("OV",STKAidSheet!$A$1,STKAidSheet!$B$1,STKAidSheet!$A$2,STKAidSheet!$B$2,STKAidSheet!$A$3,STKAidSheet!$B$3,STKAidSheet!$A$4,STKAidSheet!$B$4,STKAidSheet!$A$5,STKAidSheet!$B$5,STKAidSheet!$A$6,STKAidSheet!$B$6,$K$4,K50,$L$4,L50,$M$4,M50,$N$4,N50)</f>
        <v>OV 3577826157</v>
      </c>
      <c r="Q50" s="37">
        <f ca="1">_xll.BVIEW(AB50,"FwdDealPremium","HEADERS=N")</f>
        <v>0.5646164733709893</v>
      </c>
      <c r="R50" s="37">
        <f ca="1">_xll.BVIEW(AB50,"DV01","HEADERS=N")</f>
        <v>-143.80681264894301</v>
      </c>
      <c r="S50" s="37">
        <f ca="1">_xll.BVIEW(AB50,"Vega","HEADERS=N")</f>
        <v>834.53043422928886</v>
      </c>
      <c r="T50" s="37">
        <f t="shared" ca="1" si="17"/>
        <v>0.57986901392908563</v>
      </c>
      <c r="U50" s="19">
        <f t="shared" ca="1" si="18"/>
        <v>4.9062867239515834E-2</v>
      </c>
      <c r="W50" s="87">
        <f t="shared" si="22"/>
        <v>846102.58629056392</v>
      </c>
      <c r="X50" s="3">
        <v>13</v>
      </c>
      <c r="Y50" s="78">
        <f>VLOOKUP(X50*12,[1]Mortgage15Y_111!A$22:E$381,5,FALSE)</f>
        <v>1138210.8531899669</v>
      </c>
      <c r="Z50" s="80">
        <f t="shared" si="23"/>
        <v>850256.08636465832</v>
      </c>
      <c r="AB50" s="3" t="str" cm="1">
        <f t="array" aca="1" ref="AB50" ca="1">_xll.BPRICE(P50,"MarketDate",$R$2,"ValuationDate",$R$1)</f>
        <v>PRICE GREEKS OV 4139060052</v>
      </c>
    </row>
    <row r="51" spans="1:28" ht="12.75" customHeight="1">
      <c r="B51" s="60" t="s">
        <v>421</v>
      </c>
      <c r="C51" s="61" t="s">
        <v>424</v>
      </c>
      <c r="D51" s="95">
        <f>F8%</f>
        <v>5.8737867707580022E-2</v>
      </c>
      <c r="E51" s="96">
        <f ca="1">G8</f>
        <v>15.046700031206727</v>
      </c>
      <c r="J51" s="34">
        <v>14</v>
      </c>
      <c r="K51" s="35">
        <f ca="1">LocalAddBusMonths($K$1,12*J51)</f>
        <v>50588</v>
      </c>
      <c r="L51" s="35">
        <f ca="1">LocalAddBusMonths(K51,12)</f>
        <v>50955</v>
      </c>
      <c r="M51" s="35">
        <f t="shared" ca="1" si="11"/>
        <v>50955</v>
      </c>
      <c r="N51" s="69">
        <f t="shared" si="20"/>
        <v>4.8151193962947945</v>
      </c>
      <c r="O51" s="87">
        <f t="shared" si="21"/>
        <v>279708.45227845479</v>
      </c>
      <c r="P51" s="3" t="str" cm="1">
        <f t="array" aca="1" ref="P51" ca="1">_xll.BSTRUCTURE("OV",STKAidSheet!$A$1,STKAidSheet!$B$1,STKAidSheet!$A$2,STKAidSheet!$B$2,STKAidSheet!$A$3,STKAidSheet!$B$3,STKAidSheet!$A$4,STKAidSheet!$B$4,STKAidSheet!$A$5,STKAidSheet!$B$5,STKAidSheet!$A$6,STKAidSheet!$B$6,$K$4,K51,$L$4,L51,$M$4,M51,$N$4,N51)</f>
        <v>OV 2775390821</v>
      </c>
      <c r="Q51" s="37">
        <f ca="1">_xll.BVIEW(AB51,"FwdDealPremium","HEADERS=N")</f>
        <v>0.60073557509295816</v>
      </c>
      <c r="R51" s="37">
        <f ca="1">_xll.BVIEW(AB51,"DV01","HEADERS=N")</f>
        <v>-136.99044668187744</v>
      </c>
      <c r="S51" s="37">
        <f ca="1">_xll.BVIEW(AB51,"Vega","HEADERS=N")</f>
        <v>852.88719783641295</v>
      </c>
      <c r="T51" s="37">
        <f t="shared" ca="1" si="17"/>
        <v>0.61642341458286765</v>
      </c>
      <c r="U51" s="19">
        <f t="shared" ca="1" si="18"/>
        <v>1.7241883924117418E-2</v>
      </c>
      <c r="W51" s="87">
        <f t="shared" si="22"/>
        <v>279708.45227845479</v>
      </c>
      <c r="X51" s="3">
        <v>14</v>
      </c>
      <c r="Y51" s="78">
        <f>VLOOKUP(X51*12,[1]Mortgage15Y_111!A$22:E$381,5,FALSE)</f>
        <v>562301.31953934976</v>
      </c>
      <c r="Z51" s="81">
        <f>Y51/2</f>
        <v>281150.65976967488</v>
      </c>
      <c r="AB51" s="3" t="str" cm="1">
        <f t="array" aca="1" ref="AB51" ca="1">_xll.BPRICE(P51,"MarketDate",$R$2,"ValuationDate",$R$1)</f>
        <v>PRICE GREEKS OV 4167177441</v>
      </c>
    </row>
    <row r="52" spans="1:28" ht="12.75" customHeight="1">
      <c r="B52" s="62" t="s">
        <v>425</v>
      </c>
      <c r="C52" s="61" t="s">
        <v>424</v>
      </c>
      <c r="D52" s="95">
        <f>F64%</f>
        <v>5.8177202887763811E-2</v>
      </c>
      <c r="E52" s="96">
        <f ca="1">G64</f>
        <v>11.814929728702602</v>
      </c>
      <c r="J52" s="34">
        <v>15</v>
      </c>
      <c r="M52" s="35"/>
      <c r="N52" s="70"/>
      <c r="O52" s="88"/>
      <c r="Q52" s="37"/>
      <c r="R52" s="26"/>
      <c r="S52" s="26"/>
      <c r="T52" s="37"/>
      <c r="U52" s="19"/>
      <c r="W52" s="88"/>
    </row>
    <row r="53" spans="1:28" ht="12.75" customHeight="1">
      <c r="B53" s="63" t="s">
        <v>426</v>
      </c>
      <c r="C53" s="64" t="s">
        <v>424</v>
      </c>
      <c r="D53" s="97">
        <f>F70%</f>
        <v>5.7952741933236823E-2</v>
      </c>
      <c r="E53" s="98">
        <f ca="1">G70</f>
        <v>1.4857039177990623</v>
      </c>
      <c r="I53" s="27">
        <v>10</v>
      </c>
      <c r="J53" s="34">
        <v>1</v>
      </c>
      <c r="K53" s="35">
        <f ca="1">LocalAddBusMonths($K$1,12*J53)</f>
        <v>45840</v>
      </c>
      <c r="L53" s="35">
        <f ca="1">LocalAddBusMonths(K53,12)</f>
        <v>46205</v>
      </c>
      <c r="M53" s="35">
        <f t="shared" ca="1" si="11"/>
        <v>46205</v>
      </c>
      <c r="N53" s="69">
        <f t="shared" ref="N53:N61" si="24">$F$18</f>
        <v>4.6206300630919204</v>
      </c>
      <c r="O53" s="87">
        <f t="shared" ref="O53:O61" si="25">(($K$2+CUMPRINC($D$18%,$E$18,$K$2,1,(1*12*$J53),0))*((1-$K$3)^(1*$J53))+($K$2+CUMPRINC($D$18%,$E$18,$K$2,1,(1*12*($J53+1)),0))*((1-$K$3)^(1*($J53+1))))/2</f>
        <v>8333181.7934244312</v>
      </c>
      <c r="P53" s="3" t="str" cm="1">
        <f t="array" aca="1" ref="P53" ca="1">_xll.BSTRUCTURE("OV",STKAidSheet!$A$1,STKAidSheet!$B$1,STKAidSheet!$A$2,STKAidSheet!$B$2,STKAidSheet!$A$3,STKAidSheet!$B$3,STKAidSheet!$A$4,STKAidSheet!$B$4,STKAidSheet!$A$5,STKAidSheet!$B$5,STKAidSheet!$A$6,STKAidSheet!$B$6,$K$4,K53,$L$4,L53,$M$4,M53,$N$4,N53)</f>
        <v>OV 3466678526</v>
      </c>
      <c r="Q53" s="37">
        <f ca="1">_xll.BVIEW(AB53,"FwdDealPremium","HEADERS=N")</f>
        <v>1.351096705563762E-2</v>
      </c>
      <c r="R53" s="37">
        <f ca="1">_xll.BVIEW(AB53,"DV01","HEADERS=N")</f>
        <v>-33.231001473924799</v>
      </c>
      <c r="S53" s="37">
        <f ca="1">_xll.BVIEW(AB53,"Vega","HEADERS=N")</f>
        <v>73.417009845311014</v>
      </c>
      <c r="T53" s="37">
        <f t="shared" ca="1" si="17"/>
        <v>1.4646997237804592E-2</v>
      </c>
      <c r="U53" s="19">
        <f t="shared" ca="1" si="18"/>
        <v>1.2205609071041117E-2</v>
      </c>
      <c r="W53" s="87">
        <f t="shared" ref="W53:W61" si="26">(($K$2+CUMPRINC($D$18%,$E$18,$K$2,1,(1*12*$J53),0))*((1-$K$3)^(1*$J53))+($K$2+CUMPRINC($D$18%,$E$18,$K$2,1,(1*12*($J53+1)),0))*((1-$K$3)^(1*($J53+1))))/2</f>
        <v>8333181.7934244312</v>
      </c>
      <c r="X53" s="3">
        <v>1</v>
      </c>
      <c r="Y53" s="78">
        <f>VLOOKUP(X53*12,[1]Mortgage10Y_111!A$22:E$381,5,FALSE)</f>
        <v>8882591.7002257667</v>
      </c>
      <c r="Z53" s="80">
        <f>(Y53+Y54)/2</f>
        <v>8337674.5892592426</v>
      </c>
      <c r="AB53" s="3" t="str" cm="1">
        <f t="array" aca="1" ref="AB53" ca="1">_xll.BPRICE(P53,"MarketDate",$R$2,"ValuationDate",$R$1)</f>
        <v>PRICE GREEKS OV 1424610949</v>
      </c>
    </row>
    <row r="54" spans="1:28" ht="12.75" customHeight="1">
      <c r="J54" s="34">
        <v>2</v>
      </c>
      <c r="K54" s="35">
        <f ca="1">LocalAddBusMonths($K$1,12*J54)</f>
        <v>46205</v>
      </c>
      <c r="L54" s="35">
        <f ca="1">LocalAddBusMonths(K54,12)</f>
        <v>46570</v>
      </c>
      <c r="M54" s="35">
        <f t="shared" ca="1" si="11"/>
        <v>46570</v>
      </c>
      <c r="N54" s="69">
        <f t="shared" si="24"/>
        <v>4.6206300630919204</v>
      </c>
      <c r="O54" s="87">
        <f t="shared" si="25"/>
        <v>7254771.5500558261</v>
      </c>
      <c r="P54" s="3" t="str" cm="1">
        <f t="array" aca="1" ref="P54" ca="1">_xll.BSTRUCTURE("OV",STKAidSheet!$A$1,STKAidSheet!$B$1,STKAidSheet!$A$2,STKAidSheet!$B$2,STKAidSheet!$A$3,STKAidSheet!$B$3,STKAidSheet!$A$4,STKAidSheet!$B$4,STKAidSheet!$A$5,STKAidSheet!$B$5,STKAidSheet!$A$6,STKAidSheet!$B$6,$K$4,K54,$L$4,L54,$M$4,M54,$N$4,N54)</f>
        <v>OV 751189883</v>
      </c>
      <c r="Q54" s="37">
        <f ca="1">_xll.BVIEW(AB54,"FwdDealPremium","HEADERS=N")</f>
        <v>6.2645951890569762E-2</v>
      </c>
      <c r="R54" s="37">
        <f ca="1">_xll.BVIEW(AB54,"DV01","HEADERS=N")</f>
        <v>-83.151937838929101</v>
      </c>
      <c r="S54" s="37">
        <f ca="1">_xll.BVIEW(AB54,"Vega","HEADERS=N")</f>
        <v>215.48141992837833</v>
      </c>
      <c r="T54" s="37">
        <f t="shared" ca="1" si="17"/>
        <v>6.6124060910748045E-2</v>
      </c>
      <c r="U54" s="19">
        <f t="shared" ca="1" si="18"/>
        <v>4.7971495586945349E-2</v>
      </c>
      <c r="W54" s="87">
        <f t="shared" si="26"/>
        <v>7254771.5500558261</v>
      </c>
      <c r="X54" s="3">
        <v>2</v>
      </c>
      <c r="Y54" s="78">
        <f>VLOOKUP(X54*12,[1]Mortgage10Y_111!A$22:E$381,5,FALSE)</f>
        <v>7792757.4782927195</v>
      </c>
      <c r="Z54" s="80">
        <f>(Y54+Y55)/2</f>
        <v>7261339.4326915732</v>
      </c>
      <c r="AB54" s="3" t="str" cm="1">
        <f t="array" aca="1" ref="AB54" ca="1">_xll.BPRICE(P54,"MarketDate",$R$2,"ValuationDate",$R$1)</f>
        <v>PRICE GREEKS OV 1061851618</v>
      </c>
    </row>
    <row r="55" spans="1:28" ht="12.75" customHeight="1">
      <c r="B55" s="3" t="s">
        <v>420</v>
      </c>
      <c r="C55" s="3" t="s">
        <v>419</v>
      </c>
      <c r="E55" s="93"/>
      <c r="J55" s="34">
        <v>3</v>
      </c>
      <c r="K55" s="35">
        <f ca="1">LocalAddBusMonths($K$1,12*J55)</f>
        <v>46570</v>
      </c>
      <c r="L55" s="35">
        <f ca="1">LocalAddBusMonths(K55,12)</f>
        <v>46937</v>
      </c>
      <c r="M55" s="35">
        <f t="shared" ca="1" si="11"/>
        <v>46937</v>
      </c>
      <c r="N55" s="69">
        <f t="shared" si="24"/>
        <v>4.6206300630919204</v>
      </c>
      <c r="O55" s="87">
        <f t="shared" si="25"/>
        <v>6203833.9825847633</v>
      </c>
      <c r="P55" s="3" t="str" cm="1">
        <f t="array" aca="1" ref="P55" ca="1">_xll.BSTRUCTURE("OV",STKAidSheet!$A$1,STKAidSheet!$B$1,STKAidSheet!$A$2,STKAidSheet!$B$2,STKAidSheet!$A$3,STKAidSheet!$B$3,STKAidSheet!$A$4,STKAidSheet!$B$4,STKAidSheet!$A$5,STKAidSheet!$B$5,STKAidSheet!$A$6,STKAidSheet!$B$6,$K$4,K55,$L$4,L55,$M$4,M55,$N$4,N55)</f>
        <v>OV 2276803792</v>
      </c>
      <c r="Q55" s="37">
        <f ca="1">_xll.BVIEW(AB55,"FwdDealPremium","HEADERS=N")</f>
        <v>0.12272432507399569</v>
      </c>
      <c r="R55" s="37">
        <f ca="1">_xll.BVIEW(AB55,"DV01","HEADERS=N")</f>
        <v>-116.97633320322075</v>
      </c>
      <c r="S55" s="37">
        <f ca="1">_xll.BVIEW(AB55,"Vega","HEADERS=N")</f>
        <v>339.01601480952979</v>
      </c>
      <c r="T55" s="37">
        <f t="shared" ca="1" si="17"/>
        <v>0.12833488203815407</v>
      </c>
      <c r="U55" s="19">
        <f t="shared" ca="1" si="18"/>
        <v>7.9616830233930722E-2</v>
      </c>
      <c r="W55" s="87">
        <f t="shared" si="26"/>
        <v>6203833.9825847633</v>
      </c>
      <c r="X55" s="3">
        <v>3</v>
      </c>
      <c r="Y55" s="78">
        <f>VLOOKUP(X55*12,[1]Mortgage10Y_111!A$22:E$381,5,FALSE)</f>
        <v>6729921.3870904269</v>
      </c>
      <c r="Z55" s="80">
        <f t="shared" ref="Z55:Z60" si="27">(Y55+Y56)/2</f>
        <v>6211720.1941713402</v>
      </c>
      <c r="AB55" s="3" t="str" cm="1">
        <f t="array" aca="1" ref="AB55" ca="1">_xll.BPRICE(P55,"MarketDate",$R$2,"ValuationDate",$R$1)</f>
        <v>PRICE GREEKS OV 2936780585</v>
      </c>
    </row>
    <row r="56" spans="1:28" ht="12.75" customHeight="1">
      <c r="B56" s="3" t="s">
        <v>421</v>
      </c>
      <c r="C56" s="3" t="s">
        <v>422</v>
      </c>
      <c r="E56" s="93"/>
      <c r="J56" s="34">
        <v>4</v>
      </c>
      <c r="K56" s="35">
        <f ca="1">LocalAddBusMonths($K$1,12*J56)</f>
        <v>46937</v>
      </c>
      <c r="L56" s="35">
        <f ca="1">LocalAddBusMonths(K56,12)</f>
        <v>47302</v>
      </c>
      <c r="M56" s="35">
        <f t="shared" ca="1" si="11"/>
        <v>47302</v>
      </c>
      <c r="N56" s="69">
        <f t="shared" si="24"/>
        <v>4.6206300630919204</v>
      </c>
      <c r="O56" s="87">
        <f t="shared" si="25"/>
        <v>5179781.4001389015</v>
      </c>
      <c r="P56" s="3" t="str" cm="1">
        <f t="array" aca="1" ref="P56" ca="1">_xll.BSTRUCTURE("OV",STKAidSheet!$A$1,STKAidSheet!$B$1,STKAidSheet!$A$2,STKAidSheet!$B$2,STKAidSheet!$A$3,STKAidSheet!$B$3,STKAidSheet!$A$4,STKAidSheet!$B$4,STKAidSheet!$A$5,STKAidSheet!$B$5,STKAidSheet!$A$6,STKAidSheet!$B$6,$K$4,K56,$L$4,L56,$M$4,M56,$N$4,N56)</f>
        <v>OV 3419925562</v>
      </c>
      <c r="Q56" s="37">
        <f ca="1">_xll.BVIEW(AB56,"FwdDealPremium","HEADERS=N")</f>
        <v>0.18353883868263837</v>
      </c>
      <c r="R56" s="37">
        <f ca="1">_xll.BVIEW(AB56,"DV01","HEADERS=N")</f>
        <v>-139.55609548363992</v>
      </c>
      <c r="S56" s="37">
        <f ca="1">_xll.BVIEW(AB56,"Vega","HEADERS=N")</f>
        <v>441.54968733263121</v>
      </c>
      <c r="T56" s="37">
        <f t="shared" ca="1" si="17"/>
        <v>0.19097427147445459</v>
      </c>
      <c r="U56" s="19">
        <f t="shared" ca="1" si="18"/>
        <v>9.8920497928845705E-2</v>
      </c>
      <c r="W56" s="87">
        <f t="shared" si="26"/>
        <v>5179781.4001389015</v>
      </c>
      <c r="X56" s="3">
        <v>4</v>
      </c>
      <c r="Y56" s="78">
        <f>VLOOKUP(X56*12,[1]Mortgage10Y_111!A$22:E$381,5,FALSE)</f>
        <v>5693519.0012522535</v>
      </c>
      <c r="Z56" s="80">
        <f t="shared" si="27"/>
        <v>5188258.0954184625</v>
      </c>
      <c r="AB56" s="3" t="str" cm="1">
        <f t="array" aca="1" ref="AB56" ca="1">_xll.BPRICE(P56,"MarketDate",$R$2,"ValuationDate",$R$1)</f>
        <v>PRICE GREEKS OV 2969872250</v>
      </c>
    </row>
    <row r="57" spans="1:28" ht="12.75" customHeight="1">
      <c r="B57" s="3" t="s">
        <v>421</v>
      </c>
      <c r="C57" s="3" t="s">
        <v>423</v>
      </c>
      <c r="E57" s="93"/>
      <c r="J57" s="34">
        <v>5</v>
      </c>
      <c r="K57" s="35">
        <f ca="1">LocalAddBusMonths($K$1,12*J57)</f>
        <v>47301</v>
      </c>
      <c r="L57" s="35">
        <f ca="1">LocalAddBusMonths(K57,12)</f>
        <v>47666</v>
      </c>
      <c r="M57" s="35">
        <f t="shared" ca="1" si="11"/>
        <v>47666</v>
      </c>
      <c r="N57" s="69">
        <f t="shared" si="24"/>
        <v>4.6206300630919204</v>
      </c>
      <c r="O57" s="87">
        <f t="shared" si="25"/>
        <v>4182038.1132884515</v>
      </c>
      <c r="P57" s="3" t="str" cm="1">
        <f t="array" aca="1" ref="P57" ca="1">_xll.BSTRUCTURE("OV",STKAidSheet!$A$1,STKAidSheet!$B$1,STKAidSheet!$A$2,STKAidSheet!$B$2,STKAidSheet!$A$3,STKAidSheet!$B$3,STKAidSheet!$A$4,STKAidSheet!$B$4,STKAidSheet!$A$5,STKAidSheet!$B$5,STKAidSheet!$A$6,STKAidSheet!$B$6,$K$4,K57,$L$4,L57,$M$4,M57,$N$4,N57)</f>
        <v>OV 4180698272</v>
      </c>
      <c r="Q57" s="37">
        <f ca="1">_xll.BVIEW(AB57,"FwdDealPremium","HEADERS=N")</f>
        <v>0.24461793321162775</v>
      </c>
      <c r="R57" s="37">
        <f ca="1">_xll.BVIEW(AB57,"DV01","HEADERS=N")</f>
        <v>-156.12547491256575</v>
      </c>
      <c r="S57" s="37">
        <f ca="1">_xll.BVIEW(AB57,"Vega","HEADERS=N")</f>
        <v>530.62305769406987</v>
      </c>
      <c r="T57" s="37">
        <f t="shared" ca="1" si="17"/>
        <v>0.25366913961638349</v>
      </c>
      <c r="U57" s="19">
        <f t="shared" ca="1" si="18"/>
        <v>0.10608540100408052</v>
      </c>
      <c r="W57" s="87">
        <f t="shared" si="26"/>
        <v>4182038.1132884515</v>
      </c>
      <c r="X57" s="3">
        <v>5</v>
      </c>
      <c r="Y57" s="78">
        <f>VLOOKUP(X57*12,[1]Mortgage10Y_111!A$22:E$381,5,FALSE)</f>
        <v>4682997.1895846725</v>
      </c>
      <c r="Z57" s="80">
        <f t="shared" si="27"/>
        <v>4190405.5407792823</v>
      </c>
      <c r="AB57" s="3" t="str" cm="1">
        <f t="array" aca="1" ref="AB57" ca="1">_xll.BPRICE(P57,"MarketDate",$R$2,"ValuationDate",$R$1)</f>
        <v>PRICE GREEKS OV 4046766309</v>
      </c>
    </row>
    <row r="58" spans="1:28" ht="12.75" customHeight="1">
      <c r="B58" s="3" t="s">
        <v>421</v>
      </c>
      <c r="C58" s="3" t="s">
        <v>419</v>
      </c>
      <c r="E58" s="93"/>
      <c r="J58" s="34">
        <v>6</v>
      </c>
      <c r="K58" s="35">
        <f ca="1">LocalAddBusMonths($K$1,12*J58)</f>
        <v>47666</v>
      </c>
      <c r="L58" s="35">
        <f ca="1">LocalAddBusMonths(K58,12)</f>
        <v>48031</v>
      </c>
      <c r="M58" s="35">
        <f t="shared" ca="1" si="11"/>
        <v>48031</v>
      </c>
      <c r="N58" s="69">
        <f t="shared" si="24"/>
        <v>4.6206300630919204</v>
      </c>
      <c r="O58" s="87">
        <f t="shared" si="25"/>
        <v>3210040.1924137082</v>
      </c>
      <c r="P58" s="3" t="str" cm="1">
        <f t="array" aca="1" ref="P58" ca="1">_xll.BSTRUCTURE("OV",STKAidSheet!$A$1,STKAidSheet!$B$1,STKAidSheet!$A$2,STKAidSheet!$B$2,STKAidSheet!$A$3,STKAidSheet!$B$3,STKAidSheet!$A$4,STKAidSheet!$B$4,STKAidSheet!$A$5,STKAidSheet!$B$5,STKAidSheet!$A$6,STKAidSheet!$B$6,$K$4,K58,$L$4,L58,$M$4,M58,$N$4,N58)</f>
        <v>OV 2881354928</v>
      </c>
      <c r="Q58" s="37">
        <f ca="1">_xll.BVIEW(AB58,"FwdDealPremium","HEADERS=N")</f>
        <v>0.3023305968181057</v>
      </c>
      <c r="R58" s="37">
        <f ca="1">_xll.BVIEW(AB58,"DV01","HEADERS=N")</f>
        <v>-166.02024842719439</v>
      </c>
      <c r="S58" s="37">
        <f ca="1">_xll.BVIEW(AB58,"Vega","HEADERS=N")</f>
        <v>603.94512158919338</v>
      </c>
      <c r="T58" s="37">
        <f t="shared" ca="1" si="17"/>
        <v>0.31274929676561763</v>
      </c>
      <c r="U58" s="19">
        <f t="shared" ca="1" si="18"/>
        <v>0.10039378127667553</v>
      </c>
      <c r="W58" s="87">
        <f t="shared" si="26"/>
        <v>3210040.1924137082</v>
      </c>
      <c r="X58" s="3">
        <v>6</v>
      </c>
      <c r="Y58" s="78">
        <f>VLOOKUP(X58*12,[1]Mortgage10Y_111!A$22:E$381,5,FALSE)</f>
        <v>3697813.8919738927</v>
      </c>
      <c r="Z58" s="80">
        <f t="shared" si="27"/>
        <v>3217625.8963278662</v>
      </c>
      <c r="AB58" s="3" t="str" cm="1">
        <f t="array" aca="1" ref="AB58" ca="1">_xll.BPRICE(P58,"MarketDate",$R$2,"ValuationDate",$R$1)</f>
        <v>PRICE GREEKS OV 2950439341</v>
      </c>
    </row>
    <row r="59" spans="1:28" ht="12.75" customHeight="1">
      <c r="B59" s="3" t="s">
        <v>421</v>
      </c>
      <c r="C59" s="3" t="s">
        <v>424</v>
      </c>
      <c r="E59" s="93"/>
      <c r="J59" s="34">
        <v>7</v>
      </c>
      <c r="K59" s="35">
        <f ca="1">LocalAddBusMonths($K$1,12*J59)</f>
        <v>48031</v>
      </c>
      <c r="L59" s="35">
        <f ca="1">LocalAddBusMonths(K59,12)</f>
        <v>48397</v>
      </c>
      <c r="M59" s="35">
        <f t="shared" ca="1" si="11"/>
        <v>48397</v>
      </c>
      <c r="N59" s="69">
        <f t="shared" si="24"/>
        <v>4.6206300630919204</v>
      </c>
      <c r="O59" s="87">
        <f t="shared" si="25"/>
        <v>2263235.2309156116</v>
      </c>
      <c r="P59" s="3" t="str" cm="1">
        <f t="array" aca="1" ref="P59" ca="1">_xll.BSTRUCTURE("OV",STKAidSheet!$A$1,STKAidSheet!$B$1,STKAidSheet!$A$2,STKAidSheet!$B$2,STKAidSheet!$A$3,STKAidSheet!$B$3,STKAidSheet!$A$4,STKAidSheet!$B$4,STKAidSheet!$A$5,STKAidSheet!$B$5,STKAidSheet!$A$6,STKAidSheet!$B$6,$K$4,K59,$L$4,L59,$M$4,M59,$N$4,N59)</f>
        <v>OV 2725111346</v>
      </c>
      <c r="Q59" s="37">
        <f ca="1">_xll.BVIEW(AB59,"FwdDealPremium","HEADERS=N")</f>
        <v>0.36223383529445113</v>
      </c>
      <c r="R59" s="37">
        <f ca="1">_xll.BVIEW(AB59,"DV01","HEADERS=N")</f>
        <v>-174.13810972157935</v>
      </c>
      <c r="S59" s="37">
        <f ca="1">_xll.BVIEW(AB59,"Vega","HEADERS=N")</f>
        <v>670.45331297163477</v>
      </c>
      <c r="T59" s="37">
        <f t="shared" ca="1" si="17"/>
        <v>0.37390152045666802</v>
      </c>
      <c r="U59" s="19">
        <f t="shared" ca="1" si="18"/>
        <v>8.4622709399044524E-2</v>
      </c>
      <c r="W59" s="87">
        <f t="shared" si="26"/>
        <v>2263235.2309156116</v>
      </c>
      <c r="X59" s="3">
        <v>7</v>
      </c>
      <c r="Y59" s="78">
        <f>VLOOKUP(X59*12,[1]Mortgage10Y_111!A$22:E$381,5,FALSE)</f>
        <v>2737437.9006818398</v>
      </c>
      <c r="Z59" s="80">
        <f t="shared" si="27"/>
        <v>2269393.2733135261</v>
      </c>
      <c r="AB59" s="3" t="str" cm="1">
        <f t="array" aca="1" ref="AB59" ca="1">_xll.BPRICE(P59,"MarketDate",$R$2,"ValuationDate",$R$1)</f>
        <v>PRICE GREEKS OV 2285039023</v>
      </c>
    </row>
    <row r="60" spans="1:28" ht="12.75" customHeight="1">
      <c r="B60" s="3" t="s">
        <v>425</v>
      </c>
      <c r="C60" s="3" t="s">
        <v>424</v>
      </c>
      <c r="E60" s="93"/>
      <c r="J60" s="34">
        <v>8</v>
      </c>
      <c r="K60" s="35">
        <f ca="1">LocalAddBusMonths($K$1,12*J60)</f>
        <v>48397</v>
      </c>
      <c r="L60" s="35">
        <f ca="1">LocalAddBusMonths(K60,12)</f>
        <v>48764</v>
      </c>
      <c r="M60" s="35">
        <f t="shared" ca="1" si="11"/>
        <v>48764</v>
      </c>
      <c r="N60" s="69">
        <f t="shared" si="24"/>
        <v>4.6206300630919204</v>
      </c>
      <c r="O60" s="87">
        <f t="shared" si="25"/>
        <v>1341082.1131724163</v>
      </c>
      <c r="P60" s="3" t="str" cm="1">
        <f t="array" aca="1" ref="P60" ca="1">_xll.BSTRUCTURE("OV",STKAidSheet!$A$1,STKAidSheet!$B$1,STKAidSheet!$A$2,STKAidSheet!$B$2,STKAidSheet!$A$3,STKAidSheet!$B$3,STKAidSheet!$A$4,STKAidSheet!$B$4,STKAidSheet!$A$5,STKAidSheet!$B$5,STKAidSheet!$A$6,STKAidSheet!$B$6,$K$4,K60,$L$4,L60,$M$4,M60,$N$4,N60)</f>
        <v>OV 2839865442</v>
      </c>
      <c r="Q60" s="37">
        <f ca="1">_xll.BVIEW(AB60,"FwdDealPremium","HEADERS=N")</f>
        <v>0.41884710109391982</v>
      </c>
      <c r="R60" s="37">
        <f ca="1">_xll.BVIEW(AB60,"DV01","HEADERS=N")</f>
        <v>-178.36484882244878</v>
      </c>
      <c r="S60" s="37">
        <f ca="1">_xll.BVIEW(AB60,"Vega","HEADERS=N")</f>
        <v>727.49655505366775</v>
      </c>
      <c r="T60" s="37">
        <f t="shared" ca="1" si="17"/>
        <v>0.43161338370676866</v>
      </c>
      <c r="U60" s="19">
        <f t="shared" ca="1" si="18"/>
        <v>5.7882898869497032E-2</v>
      </c>
      <c r="W60" s="87">
        <f t="shared" si="26"/>
        <v>1341082.1131724163</v>
      </c>
      <c r="X60" s="3">
        <v>8</v>
      </c>
      <c r="Y60" s="78">
        <f>VLOOKUP(X60*12,[1]Mortgage10Y_111!A$22:E$381,5,FALSE)</f>
        <v>1801348.6459452121</v>
      </c>
      <c r="Z60" s="80">
        <f t="shared" si="27"/>
        <v>1345192.3158691355</v>
      </c>
      <c r="AB60" s="3" t="str" cm="1">
        <f t="array" aca="1" ref="AB60" ca="1">_xll.BPRICE(P60,"MarketDate",$R$2,"ValuationDate",$R$1)</f>
        <v>PRICE GREEKS OV 3427329246</v>
      </c>
    </row>
    <row r="61" spans="1:28" ht="12.75" customHeight="1">
      <c r="B61" s="3" t="s">
        <v>426</v>
      </c>
      <c r="C61" s="3" t="s">
        <v>424</v>
      </c>
      <c r="E61" s="93"/>
      <c r="J61" s="34">
        <v>9</v>
      </c>
      <c r="K61" s="35">
        <f ca="1">LocalAddBusMonths($K$1,12*J61)</f>
        <v>48764</v>
      </c>
      <c r="L61" s="35">
        <f ca="1">LocalAddBusMonths(K61,12)</f>
        <v>49129</v>
      </c>
      <c r="M61" s="35">
        <f t="shared" ca="1" si="11"/>
        <v>49129</v>
      </c>
      <c r="N61" s="69">
        <f t="shared" si="24"/>
        <v>4.6206300630919204</v>
      </c>
      <c r="O61" s="87">
        <f t="shared" si="25"/>
        <v>443050.78714748228</v>
      </c>
      <c r="P61" s="3" t="str" cm="1">
        <f t="array" aca="1" ref="P61" ca="1">_xll.BSTRUCTURE("OV",STKAidSheet!$A$1,STKAidSheet!$B$1,STKAidSheet!$A$2,STKAidSheet!$B$2,STKAidSheet!$A$3,STKAidSheet!$B$3,STKAidSheet!$A$4,STKAidSheet!$B$4,STKAidSheet!$A$5,STKAidSheet!$B$5,STKAidSheet!$A$6,STKAidSheet!$B$6,$K$4,K61,$L$4,L61,$M$4,M61,$N$4,N61)</f>
        <v>OV 2721435676</v>
      </c>
      <c r="Q61" s="37">
        <f ca="1">_xll.BVIEW(AB61,"FwdDealPremium","HEADERS=N")</f>
        <v>0.46655356977153573</v>
      </c>
      <c r="R61" s="37">
        <f ca="1">_xll.BVIEW(AB61,"DV01","HEADERS=N")</f>
        <v>-177.59586245557293</v>
      </c>
      <c r="S61" s="37">
        <f ca="1">_xll.BVIEW(AB61,"Vega","HEADERS=N")</f>
        <v>766.83672543588818</v>
      </c>
      <c r="T61" s="37">
        <f t="shared" ca="1" si="17"/>
        <v>0.48011434565569777</v>
      </c>
      <c r="U61" s="19">
        <f t="shared" ca="1" si="18"/>
        <v>2.1271503876355527E-2</v>
      </c>
      <c r="W61" s="87">
        <f t="shared" si="26"/>
        <v>443050.78714748228</v>
      </c>
      <c r="X61" s="3">
        <v>9</v>
      </c>
      <c r="Y61" s="78">
        <f>VLOOKUP(X61*12,[1]Mortgage10Y_111!A$22:E$381,5,FALSE)</f>
        <v>889035.98579305888</v>
      </c>
      <c r="Z61" s="81">
        <f>Y61/2</f>
        <v>444517.99289652944</v>
      </c>
      <c r="AB61" s="3" t="str" cm="1">
        <f t="array" aca="1" ref="AB61" ca="1">_xll.BPRICE(P61,"MarketDate",$R$2,"ValuationDate",$R$1)</f>
        <v>PRICE GREEKS OV 2763256122</v>
      </c>
    </row>
    <row r="62" spans="1:28" ht="12.75" customHeight="1">
      <c r="J62" s="34">
        <v>10</v>
      </c>
      <c r="M62" s="35"/>
      <c r="O62" s="4"/>
      <c r="Q62" s="37"/>
    </row>
    <row r="63" spans="1:28" ht="45" customHeight="1">
      <c r="B63" s="47">
        <v>1055</v>
      </c>
      <c r="C63" s="29" t="s">
        <v>285</v>
      </c>
      <c r="D63" s="29" t="s">
        <v>287</v>
      </c>
      <c r="E63" s="29" t="s">
        <v>286</v>
      </c>
      <c r="F63" s="29" t="s">
        <v>288</v>
      </c>
      <c r="G63" s="30" t="s">
        <v>293</v>
      </c>
      <c r="H63" s="68" t="s">
        <v>427</v>
      </c>
      <c r="M63" s="35"/>
      <c r="Q63" s="37"/>
    </row>
    <row r="64" spans="1:28" ht="12.75" customHeight="1">
      <c r="A64" s="111" t="e">
        <f ca="1">_xll.aaLInterp(Rates!$A$5:$AD$5,Rates!$A$4:$AD$4,C66)</f>
        <v>#NAME?</v>
      </c>
      <c r="B64" s="31">
        <v>25</v>
      </c>
      <c r="C64" s="57">
        <f>F35</f>
        <v>5.1499999999999995</v>
      </c>
      <c r="D64" s="33">
        <f>((1+C64%)^(1/12)-1)*100</f>
        <v>0.41935782233755159</v>
      </c>
      <c r="E64" s="46">
        <f>B64*12</f>
        <v>300</v>
      </c>
      <c r="F64" s="67">
        <f>MIN(2*C64,C64+3)-(C64-H64)</f>
        <v>5.817720288776381</v>
      </c>
      <c r="G64" s="43">
        <f ca="1">[1]Mortgage25Y_1055!$AG$17</f>
        <v>11.814929728702602</v>
      </c>
      <c r="H64" s="77">
        <f>[1]Mortgage25Y_1055!$AA$18</f>
        <v>2.8177202887763819</v>
      </c>
      <c r="J64" s="34">
        <v>1</v>
      </c>
      <c r="K64" s="35">
        <f ca="1">LocalAddBusMonths($K$1,120)</f>
        <v>49128</v>
      </c>
      <c r="L64" s="35">
        <f ca="1">LocalAddBusMonths($K$1,180)</f>
        <v>50955</v>
      </c>
      <c r="M64" s="35">
        <f t="shared" ca="1" si="11"/>
        <v>50955</v>
      </c>
      <c r="N64" s="41">
        <f>$F$64</f>
        <v>5.817720288776381</v>
      </c>
      <c r="O64" s="84">
        <f>Z64</f>
        <v>5056225.9974265359</v>
      </c>
      <c r="P64" s="3" t="str" cm="1">
        <f t="array" aca="1" ref="P64" ca="1">_xll.BSTRUCTURE("OV",STKAidSheet!$A$1,STKAidSheet!$B$1,STKAidSheet!$A$2,STKAidSheet!$B$2,STKAidSheet!$A$3,STKAidSheet!$B$3,STKAidSheet!$A$4,STKAidSheet!$B$4,STKAidSheet!$A$5,STKAidSheet!$B$5,STKAidSheet!$A$6,STKAidSheet!$B$6,$K$4,K64,$L$4,L64,$M$4,M64,$N$4,N64)</f>
        <v>OV 2923360992</v>
      </c>
      <c r="Q64" s="37">
        <f ca="1">_xll.BVIEW(AB64,"FwdDealPremium","HEADERS=N")</f>
        <v>1.1801577404564274</v>
      </c>
      <c r="R64" s="37">
        <f ca="1">_xll.BVIEW(AB64,"DV01","HEADERS=N")</f>
        <v>-464.59490068340165</v>
      </c>
      <c r="S64" s="37">
        <f ca="1">_xll.BVIEW(AB64,"Vega","HEADERS=N")</f>
        <v>2741.0039066389709</v>
      </c>
      <c r="T64" s="37">
        <f t="shared" ref="T64" ca="1" si="28">Q64+(R64+(2*S64))/100000</f>
        <v>1.2303318695823728</v>
      </c>
      <c r="U64" s="19">
        <f t="shared" ref="U64" ca="1" si="29">T64%*O64/100000</f>
        <v>0.6220835984444788</v>
      </c>
      <c r="V64" s="26"/>
      <c r="W64" s="83">
        <f>$K$2+(CUMPRINC($D$64%,$E$64,$K$2,1,120,0)+CUMPRINC($D$64%,$E$64,$K$2,1,180,0))/2</f>
        <v>6460817.2863594797</v>
      </c>
      <c r="X64" s="3">
        <v>10</v>
      </c>
      <c r="Y64" s="78">
        <f>VLOOKUP(X64*12,[1]Mortgage25Y_1055!A$22:E$381,5,FALSE)</f>
        <v>6041548.5481110215</v>
      </c>
      <c r="Z64" s="79">
        <f>(Y64+Y65)/2</f>
        <v>5056225.9974265359</v>
      </c>
      <c r="AB64" s="3" t="str" cm="1">
        <f t="array" aca="1" ref="AB64" ca="1">_xll.BPRICE(P64,"MarketDate",$R$2,"ValuationDate",$R$1)</f>
        <v>PRICE GREEKS OV 3601433127</v>
      </c>
    </row>
    <row r="65" spans="1:28" ht="12.75" customHeight="1">
      <c r="J65" s="34">
        <v>2</v>
      </c>
      <c r="K65" s="35">
        <f ca="1">LocalAddBusMonths($K$1,180)</f>
        <v>50955</v>
      </c>
      <c r="L65" s="35">
        <f ca="1">LocalAddBusMonths($K$1,240)</f>
        <v>52782</v>
      </c>
      <c r="M65" s="35">
        <f t="shared" ca="1" si="11"/>
        <v>52782</v>
      </c>
      <c r="N65" s="41">
        <f t="shared" ref="N65:N66" si="30">$F$64</f>
        <v>5.817720288776381</v>
      </c>
      <c r="O65" s="84">
        <f t="shared" ref="O65" si="31">Z65</f>
        <v>3069165.3005349068</v>
      </c>
      <c r="P65" s="3" t="str" cm="1">
        <f t="array" aca="1" ref="P65" ca="1">_xll.BSTRUCTURE("OV",STKAidSheet!$A$1,STKAidSheet!$B$1,STKAidSheet!$A$2,STKAidSheet!$B$2,STKAidSheet!$A$3,STKAidSheet!$B$3,STKAidSheet!$A$4,STKAidSheet!$B$4,STKAidSheet!$A$5,STKAidSheet!$B$5,STKAidSheet!$A$6,STKAidSheet!$B$6,$K$4,K65,$L$4,L65,$M$4,M65,$N$4,N65)</f>
        <v>OV 1772722348</v>
      </c>
      <c r="Q65" s="37">
        <f ca="1">_xll.BVIEW(AB65,"FwdDealPremium","HEADERS=N")</f>
        <v>1.3409541938993967</v>
      </c>
      <c r="R65" s="37">
        <f ca="1">_xll.BVIEW(AB65,"DV01","HEADERS=N")</f>
        <v>-323.93619691706044</v>
      </c>
      <c r="S65" s="37">
        <f ca="1">_xll.BVIEW(AB65,"Vega","HEADERS=N")</f>
        <v>2898.45648447437</v>
      </c>
      <c r="T65" s="37">
        <f t="shared" ref="T65:T66" ca="1" si="32">Q65+(R65+(2*S65))/100000</f>
        <v>1.3956839616197136</v>
      </c>
      <c r="U65" s="19">
        <f t="shared" ref="U65:U66" ca="1" si="33">T65%*O65/100000</f>
        <v>0.42835847855163178</v>
      </c>
      <c r="V65" s="26"/>
      <c r="W65" s="83">
        <f>$K$2+(CUMPRINC($D$64%,$E$64,$K$2,1,180,0)+CUMPRINC($D$64%,$E$64,$K$2,1,240,0))/2</f>
        <v>4313227.2580624521</v>
      </c>
      <c r="X65" s="3">
        <v>15</v>
      </c>
      <c r="Y65" s="78">
        <f>VLOOKUP(X65*12,[1]Mortgage25Y_1055!A$22:E$381,5,FALSE)</f>
        <v>4070903.4467420499</v>
      </c>
      <c r="Z65" s="79">
        <f>(Y65+Y66)/2</f>
        <v>3069165.3005349068</v>
      </c>
      <c r="AB65" s="3" t="str" cm="1">
        <f t="array" aca="1" ref="AB65" ca="1">_xll.BPRICE(P65,"MarketDate",$R$2,"ValuationDate",$R$1)</f>
        <v>PRICE GREEKS OV 3657936936</v>
      </c>
    </row>
    <row r="66" spans="1:28" ht="12.75" customHeight="1">
      <c r="B66" s="31" t="s">
        <v>338</v>
      </c>
      <c r="C66" s="71">
        <v>4.8600000000000003</v>
      </c>
      <c r="G66" s="73" t="s">
        <v>428</v>
      </c>
      <c r="H66" s="86">
        <f>[1]Mortgage25Y_1055!$T$19</f>
        <v>8.029169314245566</v>
      </c>
      <c r="J66" s="34">
        <v>3</v>
      </c>
      <c r="K66" s="35">
        <f ca="1">LocalAddBusMonths($K$1,240)</f>
        <v>52782</v>
      </c>
      <c r="L66" s="35">
        <f ca="1">LocalAddBusMonths($K$1,300)</f>
        <v>54606</v>
      </c>
      <c r="M66" s="35">
        <f t="shared" ca="1" si="11"/>
        <v>54606</v>
      </c>
      <c r="N66" s="41">
        <f t="shared" si="30"/>
        <v>5.817720288776381</v>
      </c>
      <c r="O66" s="84">
        <f>Z66</f>
        <v>1033713.577163882</v>
      </c>
      <c r="P66" s="3" t="str" cm="1">
        <f t="array" aca="1" ref="P66" ca="1">_xll.BSTRUCTURE("OV",STKAidSheet!$A$1,STKAidSheet!$B$1,STKAidSheet!$A$2,STKAidSheet!$B$2,STKAidSheet!$A$3,STKAidSheet!$B$3,STKAidSheet!$A$4,STKAidSheet!$B$4,STKAidSheet!$A$5,STKAidSheet!$B$5,STKAidSheet!$A$6,STKAidSheet!$B$6,$K$4,K66,$L$4,L66,$M$4,M66,$N$4,N66)</f>
        <v>OV 3232044538</v>
      </c>
      <c r="Q66" s="37">
        <f ca="1">_xll.BVIEW(AB66,"FwdDealPremium","HEADERS=N")</f>
        <v>1.3383769870771991</v>
      </c>
      <c r="R66" s="37">
        <f ca="1">_xll.BVIEW(AB66,"DV01","HEADERS=N")</f>
        <v>-198.36537105990212</v>
      </c>
      <c r="S66" s="37">
        <f ca="1">_xll.BVIEW(AB66,"Vega","HEADERS=N")</f>
        <v>2823.391375701493</v>
      </c>
      <c r="T66" s="37">
        <f t="shared" ca="1" si="32"/>
        <v>1.3928611608806298</v>
      </c>
      <c r="U66" s="19">
        <f t="shared" ca="1" si="33"/>
        <v>0.1439819493106553</v>
      </c>
      <c r="V66" s="26"/>
      <c r="W66" s="83">
        <f>$K$2+(CUMPRINC($D$64%,$E$64,$K$2,1,240,0)+CUMPRINC($D$64%,$E$64,$K$2,1,300,0))/2</f>
        <v>1552663.6155688763</v>
      </c>
      <c r="X66" s="3">
        <v>20</v>
      </c>
      <c r="Y66" s="78">
        <f>VLOOKUP(X66*12,[1]Mortgage25Y_1055!A$22:E$381,5,FALSE)</f>
        <v>2067427.1543277639</v>
      </c>
      <c r="Z66" s="79">
        <f>(Y66+Y67)/2</f>
        <v>1033713.577163882</v>
      </c>
      <c r="AB66" s="3" t="str" cm="1">
        <f t="array" aca="1" ref="AB66" ca="1">_xll.BPRICE(P66,"MarketDate",$R$2,"ValuationDate",$R$1)</f>
        <v>PRICE GREEKS OV 3237195069</v>
      </c>
    </row>
    <row r="67" spans="1:28" ht="12.75" customHeight="1">
      <c r="X67" s="3">
        <v>25</v>
      </c>
      <c r="Y67" s="78">
        <f>VLOOKUP(X67*12,[1]Mortgage25Y_1055!A$22:E$381,5,FALSE)</f>
        <v>0</v>
      </c>
    </row>
    <row r="69" spans="1:28" ht="45" customHeight="1">
      <c r="B69" s="47">
        <v>2055</v>
      </c>
      <c r="C69" s="29" t="s">
        <v>285</v>
      </c>
      <c r="D69" s="29" t="s">
        <v>287</v>
      </c>
      <c r="E69" s="29" t="s">
        <v>286</v>
      </c>
      <c r="F69" s="29" t="s">
        <v>288</v>
      </c>
      <c r="G69" s="30" t="s">
        <v>293</v>
      </c>
      <c r="H69" s="68" t="s">
        <v>427</v>
      </c>
    </row>
    <row r="70" spans="1:28" ht="12.75" customHeight="1">
      <c r="A70" s="111" t="e">
        <f ca="1">_xll.aaLInterp(Rates!$A$5:$AD$5,Rates!$A$4:$AD$4,C72)</f>
        <v>#NAME?</v>
      </c>
      <c r="B70" s="31">
        <v>25</v>
      </c>
      <c r="C70" s="57">
        <f>F37</f>
        <v>3.8</v>
      </c>
      <c r="D70" s="33">
        <f>((1+C70%)^(1/12)-1)*100</f>
        <v>0.31128168457330574</v>
      </c>
      <c r="E70" s="46">
        <f>B70*12</f>
        <v>300</v>
      </c>
      <c r="F70" s="67">
        <f>MIN(2*C70,C70+3)-(C70-H70)</f>
        <v>5.7952741933236824</v>
      </c>
      <c r="G70" s="43">
        <f ca="1">[1]Mortgage25Y_2055!$AG$17</f>
        <v>1.4857039177990623</v>
      </c>
      <c r="H70" s="77">
        <f>[1]Mortgage25Y_2055!$AA$18</f>
        <v>2.7952741933236824</v>
      </c>
      <c r="J70" s="34">
        <v>1</v>
      </c>
      <c r="K70" s="35">
        <f ca="1">LocalAddBusMonths($K$1,240)</f>
        <v>52782</v>
      </c>
      <c r="L70" s="35">
        <f ca="1">LocalAddBusMonths($K$1,300)</f>
        <v>54606</v>
      </c>
      <c r="M70" s="35">
        <f t="shared" ref="M70" ca="1" si="34">L70</f>
        <v>54606</v>
      </c>
      <c r="N70" s="41">
        <f>F70</f>
        <v>5.7952741933236824</v>
      </c>
      <c r="O70" s="84">
        <f>Z70</f>
        <v>1033713.577163882</v>
      </c>
      <c r="P70" s="3" t="str" cm="1">
        <f t="array" aca="1" ref="P70" ca="1">_xll.BSTRUCTURE("OV",STKAidSheet!$A$1,STKAidSheet!$B$1,STKAidSheet!$A$2,STKAidSheet!$B$2,STKAidSheet!$A$3,STKAidSheet!$B$3,STKAidSheet!$A$4,STKAidSheet!$B$4,STKAidSheet!$A$5,STKAidSheet!$B$5,STKAidSheet!$A$6,STKAidSheet!$B$6,$K$4,K70,$L$4,L70,$M$4,M70,$N$4,N70)</f>
        <v>OV 3155641763</v>
      </c>
      <c r="Q70" s="37">
        <f ca="1">_xll.BVIEW(AB70,"FwdDealPremium","HEADERS=N")</f>
        <v>1.348751296635363</v>
      </c>
      <c r="R70" s="37">
        <f ca="1">_xll.BVIEW(AB70,"DV01","HEADERS=N")</f>
        <v>-199.75257490337827</v>
      </c>
      <c r="S70" s="37">
        <f ca="1">_xll.BVIEW(AB70,"Vega","HEADERS=N")</f>
        <v>2837.1572601836228</v>
      </c>
      <c r="T70" s="37">
        <f t="shared" ref="T70" ca="1" si="35">Q70+(R70+(2*S70))/100000</f>
        <v>1.4034969160900017</v>
      </c>
      <c r="U70" s="19">
        <f t="shared" ref="U70" ca="1" si="36">T70%*O70/100000</f>
        <v>0.14508138176698723</v>
      </c>
      <c r="V70" s="26"/>
      <c r="W70" s="83">
        <f>$K$2+(CUMPRINC($D$70%,$E$70,$K$2,1,240,0)+CUMPRINC($D$70%,$E$70,$K$2,1,300,0))/2</f>
        <v>1402760.2480508685</v>
      </c>
      <c r="X70" s="3">
        <v>20</v>
      </c>
      <c r="Y70" s="78">
        <f>VLOOKUP(X70*12,[1]Mortgage25Y_1055!A$22:E$381,5,FALSE)</f>
        <v>2067427.1543277639</v>
      </c>
      <c r="Z70" s="3">
        <f>(Y70+Y71)/2</f>
        <v>1033713.577163882</v>
      </c>
      <c r="AB70" s="3" t="str" cm="1">
        <f t="array" aca="1" ref="AB70" ca="1">_xll.BPRICE(P70,"MarketDate",$R$2,"ValuationDate",$R$1)</f>
        <v>PRICE GREEKS OV 3953717412</v>
      </c>
    </row>
    <row r="71" spans="1:28" ht="12.75" customHeight="1">
      <c r="X71" s="3">
        <v>25</v>
      </c>
      <c r="Y71" s="78">
        <f>VLOOKUP(X71*12,[1]Mortgage25Y_1055!A$22:E$381,5,FALSE)</f>
        <v>0</v>
      </c>
    </row>
    <row r="72" spans="1:28" ht="12.75" customHeight="1">
      <c r="B72" s="31" t="s">
        <v>338</v>
      </c>
      <c r="C72" s="71">
        <v>9.33</v>
      </c>
      <c r="G72" s="73" t="s">
        <v>428</v>
      </c>
      <c r="H72" s="86">
        <f>[1]Mortgage25Y_2055!$T$19</f>
        <v>11.682303783569054</v>
      </c>
    </row>
    <row r="74" spans="1:28" ht="33" customHeight="1">
      <c r="B74" s="47">
        <v>833</v>
      </c>
      <c r="C74" s="29" t="s">
        <v>285</v>
      </c>
      <c r="D74" s="29" t="s">
        <v>287</v>
      </c>
      <c r="E74" s="29" t="s">
        <v>286</v>
      </c>
      <c r="F74" s="29" t="s">
        <v>288</v>
      </c>
      <c r="G74" s="30" t="s">
        <v>293</v>
      </c>
      <c r="H74" s="68" t="s">
        <v>427</v>
      </c>
      <c r="J74" s="3">
        <f>3*12</f>
        <v>36</v>
      </c>
      <c r="K74" s="3">
        <v>240</v>
      </c>
      <c r="L74" s="3">
        <f>2023+25</f>
        <v>2048</v>
      </c>
    </row>
    <row r="75" spans="1:28" ht="33" customHeight="1">
      <c r="A75" s="3" t="e">
        <f ca="1">_xll.aaLInterp(Rates!$A$5:$AD$5,Rates!$A$4:$AD$4,C77)</f>
        <v>#NAME?</v>
      </c>
      <c r="B75" s="31">
        <v>25</v>
      </c>
      <c r="C75" s="57">
        <f>F46</f>
        <v>3.1187652728796675</v>
      </c>
      <c r="D75" s="33">
        <f>((1+C75%)^(1/12)-1)*100</f>
        <v>0.25625442915468977</v>
      </c>
      <c r="E75" s="46">
        <f>B75*12</f>
        <v>300</v>
      </c>
      <c r="F75" s="67">
        <f>MIN(2*C75,C75+3)-(C75-H75)</f>
        <v>5.7952741933236815</v>
      </c>
      <c r="G75" s="43">
        <f ca="1">[1]Mortgage25Y_2055!$AG$17</f>
        <v>1.4857039177990623</v>
      </c>
      <c r="H75" s="77">
        <f>[1]Mortgage25Y_2055!$AA$18</f>
        <v>2.7952741933236824</v>
      </c>
      <c r="J75" s="34">
        <v>1</v>
      </c>
      <c r="K75" s="35">
        <f ca="1">LocalAddBusMonths($K$1,96)</f>
        <v>48397</v>
      </c>
      <c r="L75" s="35">
        <f ca="1">LocalAddBusMonths($K$1,132)</f>
        <v>49492</v>
      </c>
      <c r="M75" s="35">
        <f t="shared" ref="M75:M77" ca="1" si="37">L75</f>
        <v>49492</v>
      </c>
      <c r="N75" s="41">
        <f>$F$75</f>
        <v>5.7952741933236815</v>
      </c>
      <c r="O75" s="84">
        <f>Z75</f>
        <v>0</v>
      </c>
      <c r="P75" s="3" t="str" cm="1">
        <f t="array" aca="1" ref="P75" ca="1">_xll.BSTRUCTURE("OV",STKAidSheet!$A$1,STKAidSheet!$B$1,STKAidSheet!$A$2,STKAidSheet!$B$2,STKAidSheet!$A$3,STKAidSheet!$B$3,STKAidSheet!$A$4,STKAidSheet!$B$4,STKAidSheet!$A$5,STKAidSheet!$B$5,STKAidSheet!$A$6,STKAidSheet!$B$6,$K$4,K75,$L$4,L75,$M$4,M75,$N$4,N75)</f>
        <v>OV 3567637367</v>
      </c>
      <c r="Q75" s="37" t="str">
        <f>_xll.BVIEW(AB75,"FwdDealPremium","HEADERS=N")</f>
        <v>#N/A Mandatory parameter [OBJECTID] cannot be empty</v>
      </c>
      <c r="R75" s="37" t="str">
        <f>_xll.BVIEW(AB75,"DV01","HEADERS=N")</f>
        <v>#N/A Mandatory parameter [OBJECTID] cannot be empty</v>
      </c>
      <c r="S75" s="37" t="str">
        <f>_xll.BVIEW(AB75,"Vega","HEADERS=N")</f>
        <v>#N/A Mandatory parameter [OBJECTID] cannot be empty</v>
      </c>
      <c r="T75" s="37" t="e">
        <f t="shared" ref="T75:T77" si="38">Q75+(R75+(2*S75))/100000</f>
        <v>#VALUE!</v>
      </c>
      <c r="U75" s="19" t="e">
        <f t="shared" ref="U75:U77" si="39">T75%*O75/100000</f>
        <v>#VALUE!</v>
      </c>
    </row>
    <row r="76" spans="1:28" ht="12.75" customHeight="1">
      <c r="J76" s="34">
        <v>2</v>
      </c>
      <c r="K76" s="35">
        <f ca="1">LocalAddBusMonths($K$1,132)</f>
        <v>49492</v>
      </c>
      <c r="L76" s="35">
        <f ca="1">LocalAddBusMonths($K$1,168)</f>
        <v>50588</v>
      </c>
      <c r="M76" s="35">
        <f t="shared" ca="1" si="37"/>
        <v>50588</v>
      </c>
      <c r="N76" s="41">
        <f t="shared" ref="N76:N79" si="40">$F$75</f>
        <v>5.7952741933236815</v>
      </c>
      <c r="O76" s="84">
        <f t="shared" ref="O76" si="41">Z76</f>
        <v>0</v>
      </c>
      <c r="P76" s="3" t="str" cm="1">
        <f t="array" aca="1" ref="P76" ca="1">_xll.BSTRUCTURE("OV",STKAidSheet!$A$1,STKAidSheet!$B$1,STKAidSheet!$A$2,STKAidSheet!$B$2,STKAidSheet!$A$3,STKAidSheet!$B$3,STKAidSheet!$A$4,STKAidSheet!$B$4,STKAidSheet!$A$5,STKAidSheet!$B$5,STKAidSheet!$A$6,STKAidSheet!$B$6,$K$4,K76,$L$4,L76,$M$4,M76,$N$4,N76)</f>
        <v>OV 3861377481</v>
      </c>
      <c r="Q76" s="37" t="str">
        <f>_xll.BVIEW(AB76,"FwdDealPremium","HEADERS=N")</f>
        <v>#N/A Mandatory parameter [OBJECTID] cannot be empty</v>
      </c>
      <c r="R76" s="37" t="str">
        <f>_xll.BVIEW(AB76,"DV01","HEADERS=N")</f>
        <v>#N/A Mandatory parameter [OBJECTID] cannot be empty</v>
      </c>
      <c r="S76" s="37" t="str">
        <f>_xll.BVIEW(AB76,"Vega","HEADERS=N")</f>
        <v>#N/A Mandatory parameter [OBJECTID] cannot be empty</v>
      </c>
      <c r="T76" s="37" t="e">
        <f t="shared" si="38"/>
        <v>#VALUE!</v>
      </c>
      <c r="U76" s="19" t="e">
        <f t="shared" si="39"/>
        <v>#VALUE!</v>
      </c>
    </row>
    <row r="77" spans="1:28" ht="12.75" customHeight="1">
      <c r="J77" s="34">
        <v>3</v>
      </c>
      <c r="K77" s="35">
        <f ca="1">LocalAddBusMonths($K$1,168)</f>
        <v>50588</v>
      </c>
      <c r="L77" s="35">
        <f ca="1">LocalAddBusMonths($K$1,204)</f>
        <v>51684</v>
      </c>
      <c r="M77" s="35">
        <f t="shared" ca="1" si="37"/>
        <v>51684</v>
      </c>
      <c r="N77" s="41">
        <f t="shared" si="40"/>
        <v>5.7952741933236815</v>
      </c>
      <c r="O77" s="84">
        <f>Z77</f>
        <v>0</v>
      </c>
      <c r="P77" s="3" t="str" cm="1">
        <f t="array" aca="1" ref="P77" ca="1">_xll.BSTRUCTURE("OV",STKAidSheet!$A$1,STKAidSheet!$B$1,STKAidSheet!$A$2,STKAidSheet!$B$2,STKAidSheet!$A$3,STKAidSheet!$B$3,STKAidSheet!$A$4,STKAidSheet!$B$4,STKAidSheet!$A$5,STKAidSheet!$B$5,STKAidSheet!$A$6,STKAidSheet!$B$6,$K$4,K77,$L$4,L77,$M$4,M77,$N$4,N77)</f>
        <v>OV 4214910240</v>
      </c>
      <c r="Q77" s="37" t="str">
        <f>_xll.BVIEW(AB77,"FwdDealPremium","HEADERS=N")</f>
        <v>#N/A Mandatory parameter [OBJECTID] cannot be empty</v>
      </c>
      <c r="R77" s="37" t="str">
        <f>_xll.BVIEW(AB77,"DV01","HEADERS=N")</f>
        <v>#N/A Mandatory parameter [OBJECTID] cannot be empty</v>
      </c>
      <c r="S77" s="37" t="str">
        <f>_xll.BVIEW(AB77,"Vega","HEADERS=N")</f>
        <v>#N/A Mandatory parameter [OBJECTID] cannot be empty</v>
      </c>
      <c r="T77" s="37" t="e">
        <f t="shared" si="38"/>
        <v>#VALUE!</v>
      </c>
      <c r="U77" s="19" t="e">
        <f t="shared" si="39"/>
        <v>#VALUE!</v>
      </c>
    </row>
    <row r="78" spans="1:28" ht="12.75" customHeight="1">
      <c r="J78" s="34">
        <v>4</v>
      </c>
      <c r="K78" s="35">
        <f ca="1">LocalAddBusMonths($K$1,204)</f>
        <v>51684</v>
      </c>
      <c r="L78" s="35">
        <f ca="1">LocalAddBusMonths($K$1,240)</f>
        <v>52782</v>
      </c>
      <c r="M78" s="35">
        <f t="shared" ref="M78" ca="1" si="42">L78</f>
        <v>52782</v>
      </c>
      <c r="N78" s="41">
        <f t="shared" si="40"/>
        <v>5.7952741933236815</v>
      </c>
      <c r="O78" s="84">
        <f>Z78</f>
        <v>0</v>
      </c>
      <c r="P78" s="3" t="str" cm="1">
        <f t="array" aca="1" ref="P78" ca="1">_xll.BSTRUCTURE("OV",STKAidSheet!$A$1,STKAidSheet!$B$1,STKAidSheet!$A$2,STKAidSheet!$B$2,STKAidSheet!$A$3,STKAidSheet!$B$3,STKAidSheet!$A$4,STKAidSheet!$B$4,STKAidSheet!$A$5,STKAidSheet!$B$5,STKAidSheet!$A$6,STKAidSheet!$B$6,$K$4,K78,$L$4,L78,$M$4,M78,$N$4,N78)</f>
        <v>OV 2782150599</v>
      </c>
      <c r="Q78" s="37" t="str">
        <f>_xll.BVIEW(AB78,"FwdDealPremium","HEADERS=N")</f>
        <v>#N/A Mandatory parameter [OBJECTID] cannot be empty</v>
      </c>
      <c r="R78" s="37" t="str">
        <f>_xll.BVIEW(AB78,"DV01","HEADERS=N")</f>
        <v>#N/A Mandatory parameter [OBJECTID] cannot be empty</v>
      </c>
      <c r="S78" s="37" t="str">
        <f>_xll.BVIEW(AB78,"Vega","HEADERS=N")</f>
        <v>#N/A Mandatory parameter [OBJECTID] cannot be empty</v>
      </c>
      <c r="T78" s="37" t="e">
        <f t="shared" ref="T78" si="43">Q78+(R78+(2*S78))/100000</f>
        <v>#VALUE!</v>
      </c>
      <c r="U78" s="19" t="e">
        <f t="shared" ref="U78" si="44">T78%*O78/100000</f>
        <v>#VALUE!</v>
      </c>
    </row>
    <row r="79" spans="1:28" ht="12.75" customHeight="1">
      <c r="J79" s="34">
        <v>5</v>
      </c>
      <c r="K79" s="35">
        <f ca="1">LocalAddBusMonths($K$1,240)</f>
        <v>52782</v>
      </c>
      <c r="L79" s="35">
        <f ca="1">LocalAddBusMonths($K$1,276)</f>
        <v>53875</v>
      </c>
      <c r="M79" s="35">
        <f t="shared" ref="M79" ca="1" si="45">L79</f>
        <v>53875</v>
      </c>
      <c r="N79" s="41">
        <f t="shared" si="40"/>
        <v>5.7952741933236815</v>
      </c>
      <c r="O79" s="84">
        <f>Z79</f>
        <v>0</v>
      </c>
      <c r="P79" s="3" t="str" cm="1">
        <f t="array" aca="1" ref="P79" ca="1">_xll.BSTRUCTURE("OV",STKAidSheet!$A$1,STKAidSheet!$B$1,STKAidSheet!$A$2,STKAidSheet!$B$2,STKAidSheet!$A$3,STKAidSheet!$B$3,STKAidSheet!$A$4,STKAidSheet!$B$4,STKAidSheet!$A$5,STKAidSheet!$B$5,STKAidSheet!$A$6,STKAidSheet!$B$6,$K$4,K79,$L$4,L79,$M$4,M79,$N$4,N79)</f>
        <v>OV 3967869102</v>
      </c>
      <c r="Q79" s="37" t="str">
        <f>_xll.BVIEW(AB79,"FwdDealPremium","HEADERS=N")</f>
        <v>#N/A Mandatory parameter [OBJECTID] cannot be empty</v>
      </c>
      <c r="R79" s="37" t="str">
        <f>_xll.BVIEW(AB79,"DV01","HEADERS=N")</f>
        <v>#N/A Mandatory parameter [OBJECTID] cannot be empty</v>
      </c>
      <c r="S79" s="37" t="str">
        <f>_xll.BVIEW(AB79,"Vega","HEADERS=N")</f>
        <v>#N/A Mandatory parameter [OBJECTID] cannot be empty</v>
      </c>
      <c r="T79" s="37" t="e">
        <f t="shared" ref="T79" si="46">Q79+(R79+(2*S79))/100000</f>
        <v>#VALUE!</v>
      </c>
      <c r="U79" s="19" t="e">
        <f t="shared" ref="U79" si="47">T79%*O79/100000</f>
        <v>#VALUE!</v>
      </c>
    </row>
    <row r="80" spans="1:28" ht="12.75" customHeight="1">
      <c r="H80" s="74">
        <f>8+3+3+3</f>
        <v>17</v>
      </c>
    </row>
    <row r="81" spans="8:8" ht="12.75" customHeight="1">
      <c r="H81" s="74">
        <f>3+3+3</f>
        <v>9</v>
      </c>
    </row>
  </sheetData>
  <pageMargins left="0.7" right="0.7" top="0.75" bottom="0.75" header="0.3" footer="0.3"/>
  <pageSetup paperSize="9" orientation="portrait" r:id="rId1"/>
  <headerFooter>
    <oddFooter>&amp;C_x000D_&amp;1#&amp;"Calibri"&amp;10&amp;K000000 Public Information</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83DAE-E7AC-4D47-AB71-64CD6FAF0B54}">
  <sheetPr codeName="Sheet4">
    <tabColor theme="9" tint="-0.249977111117893"/>
    <pageSetUpPr autoPageBreaks="0"/>
  </sheetPr>
  <dimension ref="A1:AB81"/>
  <sheetViews>
    <sheetView zoomScale="90" zoomScaleNormal="90" workbookViewId="0">
      <pane xSplit="2" ySplit="4" topLeftCell="C5" activePane="bottomRight" state="frozen"/>
      <selection pane="topRight" activeCell="C1" sqref="C1"/>
      <selection pane="bottomLeft" activeCell="A5" sqref="A5"/>
      <selection pane="bottomRight" activeCell="B11" sqref="B11"/>
    </sheetView>
  </sheetViews>
  <sheetFormatPr defaultColWidth="9.109375" defaultRowHeight="12.75" customHeight="1"/>
  <cols>
    <col min="1" max="1" width="9.109375" style="3"/>
    <col min="2" max="2" width="30.88671875" style="3" customWidth="1"/>
    <col min="3" max="5" width="9.109375" style="3"/>
    <col min="6" max="6" width="11.33203125" style="3" bestFit="1" customWidth="1"/>
    <col min="7" max="7" width="13" style="3" bestFit="1" customWidth="1"/>
    <col min="8" max="8" width="9.109375" style="74" customWidth="1"/>
    <col min="9" max="10" width="9.109375" style="3"/>
    <col min="11" max="13" width="11" style="3" customWidth="1"/>
    <col min="14" max="14" width="11.5546875" style="3" bestFit="1" customWidth="1"/>
    <col min="15" max="15" width="11.5546875" style="3" customWidth="1"/>
    <col min="16" max="16" width="15.6640625" style="3" bestFit="1" customWidth="1"/>
    <col min="17" max="17" width="13.5546875" style="3" customWidth="1"/>
    <col min="18" max="18" width="11.5546875" style="3" customWidth="1"/>
    <col min="19" max="19" width="9.109375" style="3"/>
    <col min="20" max="20" width="10" style="3" customWidth="1"/>
    <col min="21" max="21" width="10.88671875" style="3" bestFit="1" customWidth="1"/>
    <col min="22" max="22" width="9.109375" style="3"/>
    <col min="23" max="23" width="9.109375" style="82"/>
    <col min="24" max="24" width="9.109375" style="3"/>
    <col min="25" max="25" width="12.6640625" style="3" customWidth="1"/>
    <col min="26" max="26" width="15" style="3" bestFit="1" customWidth="1"/>
    <col min="27" max="27" width="9.109375" style="3"/>
    <col min="28" max="28" width="13.5546875" style="3" bestFit="1" customWidth="1"/>
    <col min="29" max="16384" width="9.109375" style="3"/>
  </cols>
  <sheetData>
    <row r="1" spans="1:28" ht="12.75" customHeight="1">
      <c r="J1" s="24" t="s">
        <v>284</v>
      </c>
      <c r="K1" s="25">
        <v>45345</v>
      </c>
      <c r="O1" s="26"/>
      <c r="P1" s="53"/>
      <c r="Q1" s="14" t="s">
        <v>571</v>
      </c>
      <c r="R1" s="106">
        <v>45345</v>
      </c>
    </row>
    <row r="2" spans="1:28" ht="12.75" customHeight="1">
      <c r="D2" s="52"/>
      <c r="E2" s="51"/>
      <c r="F2" s="51"/>
      <c r="G2" s="51"/>
      <c r="H2" s="75"/>
      <c r="J2" s="24" t="s">
        <v>86</v>
      </c>
      <c r="K2" s="48">
        <v>10000000</v>
      </c>
      <c r="O2" s="66" t="s">
        <v>430</v>
      </c>
      <c r="Q2" s="14" t="s">
        <v>572</v>
      </c>
      <c r="R2" s="107">
        <v>45345</v>
      </c>
    </row>
    <row r="3" spans="1:28" ht="12.75" customHeight="1">
      <c r="J3" s="24" t="s">
        <v>295</v>
      </c>
      <c r="K3" s="28">
        <v>0.02</v>
      </c>
      <c r="O3" s="23"/>
      <c r="P3" s="109" t="s">
        <v>575</v>
      </c>
      <c r="Q3" s="109" t="s">
        <v>576</v>
      </c>
      <c r="AB3" s="109" t="s">
        <v>577</v>
      </c>
    </row>
    <row r="4" spans="1:28" ht="45" customHeight="1">
      <c r="A4" s="3" t="s">
        <v>427</v>
      </c>
      <c r="B4" s="47">
        <v>555</v>
      </c>
      <c r="C4" s="29" t="s">
        <v>285</v>
      </c>
      <c r="D4" s="29" t="s">
        <v>287</v>
      </c>
      <c r="E4" s="29" t="s">
        <v>286</v>
      </c>
      <c r="F4" s="29" t="s">
        <v>288</v>
      </c>
      <c r="G4" s="30" t="s">
        <v>293</v>
      </c>
      <c r="H4" s="68" t="s">
        <v>427</v>
      </c>
      <c r="K4" s="3" t="s">
        <v>568</v>
      </c>
      <c r="L4" s="3" t="s">
        <v>569</v>
      </c>
      <c r="M4" s="3" t="s">
        <v>570</v>
      </c>
      <c r="N4" s="3" t="s">
        <v>567</v>
      </c>
      <c r="O4" s="3" t="s">
        <v>566</v>
      </c>
      <c r="P4" s="3" t="s">
        <v>573</v>
      </c>
      <c r="Q4" s="29" t="s">
        <v>291</v>
      </c>
      <c r="R4" s="29" t="s">
        <v>289</v>
      </c>
      <c r="S4" s="29" t="s">
        <v>290</v>
      </c>
      <c r="T4" s="29" t="s">
        <v>292</v>
      </c>
      <c r="U4" s="29" t="s">
        <v>294</v>
      </c>
      <c r="W4" s="82" t="s">
        <v>429</v>
      </c>
      <c r="Y4" s="85" t="s">
        <v>431</v>
      </c>
      <c r="Z4" s="85" t="s">
        <v>432</v>
      </c>
      <c r="AB4" s="3" t="s">
        <v>574</v>
      </c>
    </row>
    <row r="5" spans="1:28" ht="12.75" customHeight="1">
      <c r="A5" s="3">
        <v>2.7831999999999999</v>
      </c>
      <c r="B5" s="31">
        <v>10</v>
      </c>
      <c r="C5" s="92">
        <v>3.6500000000000004</v>
      </c>
      <c r="D5" s="33">
        <v>0.29919380133611728</v>
      </c>
      <c r="E5" s="45">
        <v>120</v>
      </c>
      <c r="F5" s="67">
        <v>5.84614974075863</v>
      </c>
      <c r="G5" s="43">
        <v>3.3574072622737963</v>
      </c>
      <c r="H5" s="76">
        <v>2.84614974075863</v>
      </c>
      <c r="I5" s="27">
        <v>25</v>
      </c>
      <c r="J5" s="34">
        <v>1</v>
      </c>
      <c r="K5" s="35">
        <v>47172</v>
      </c>
      <c r="L5" s="35">
        <v>48998</v>
      </c>
      <c r="M5" s="35">
        <v>48998</v>
      </c>
      <c r="N5" s="36">
        <v>5.8076635950826656</v>
      </c>
      <c r="O5" s="84">
        <v>6886386.551467563</v>
      </c>
      <c r="P5" s="3" t="s">
        <v>586</v>
      </c>
      <c r="Q5" s="37">
        <v>0.59909304103283212</v>
      </c>
      <c r="R5" s="37">
        <v>-393.07280734869312</v>
      </c>
      <c r="S5" s="37">
        <v>1679.9922552781836</v>
      </c>
      <c r="T5" s="37">
        <v>0.62876215806490887</v>
      </c>
      <c r="U5" s="19">
        <v>0.43298992693699112</v>
      </c>
      <c r="V5" s="26"/>
      <c r="W5" s="83">
        <v>7942394.4407367641</v>
      </c>
      <c r="X5" s="3">
        <v>5</v>
      </c>
      <c r="Y5" s="78">
        <v>7900854.7745443983</v>
      </c>
      <c r="Z5" s="80">
        <v>6886386.551467563</v>
      </c>
      <c r="AB5" s="3" t="s">
        <v>587</v>
      </c>
    </row>
    <row r="6" spans="1:28" ht="12.75" customHeight="1">
      <c r="A6" s="3">
        <v>2.7831999999999999</v>
      </c>
      <c r="B6" s="31">
        <v>15</v>
      </c>
      <c r="C6" s="92">
        <v>3.5800000000000005</v>
      </c>
      <c r="D6" s="33">
        <v>0.29354730050472622</v>
      </c>
      <c r="E6" s="46">
        <v>180</v>
      </c>
      <c r="F6" s="67">
        <v>5.8235614208044879</v>
      </c>
      <c r="G6" s="44">
        <v>7.8793375487157125</v>
      </c>
      <c r="H6" s="76">
        <v>2.8235614208044879</v>
      </c>
      <c r="J6" s="34">
        <v>2</v>
      </c>
      <c r="K6" s="35">
        <v>48998</v>
      </c>
      <c r="L6" s="35">
        <v>50824</v>
      </c>
      <c r="M6" s="35">
        <v>50824</v>
      </c>
      <c r="N6" s="36">
        <v>5.8076635950826656</v>
      </c>
      <c r="O6" s="84">
        <v>4882148.642610196</v>
      </c>
      <c r="P6" s="3" t="s">
        <v>588</v>
      </c>
      <c r="Q6" s="37">
        <v>1.2245460248331665</v>
      </c>
      <c r="R6" s="37">
        <v>-467.16718674820225</v>
      </c>
      <c r="S6" s="37">
        <v>2788.4356663370127</v>
      </c>
      <c r="T6" s="37">
        <v>1.2756430662924247</v>
      </c>
      <c r="U6" s="19">
        <v>0.622787906455467</v>
      </c>
      <c r="V6" s="26"/>
      <c r="W6" s="83">
        <v>6200690.6800736357</v>
      </c>
      <c r="X6" s="3">
        <v>10</v>
      </c>
      <c r="Y6" s="78">
        <v>5871918.3283907278</v>
      </c>
      <c r="Z6" s="80">
        <v>4882148.642610196</v>
      </c>
      <c r="AB6" s="3" t="s">
        <v>589</v>
      </c>
    </row>
    <row r="7" spans="1:28" ht="12.75" customHeight="1">
      <c r="A7" s="3">
        <v>2.7831999999999999</v>
      </c>
      <c r="B7" s="31">
        <v>20</v>
      </c>
      <c r="C7" s="92">
        <v>3.5700000000000003</v>
      </c>
      <c r="D7" s="33">
        <v>0.29274037199951142</v>
      </c>
      <c r="E7" s="46">
        <v>240</v>
      </c>
      <c r="F7" s="67">
        <v>5.8138926595133729</v>
      </c>
      <c r="G7" s="44">
        <v>12.215042831583357</v>
      </c>
      <c r="H7" s="76">
        <v>2.8138926595133729</v>
      </c>
      <c r="J7" s="34">
        <v>3</v>
      </c>
      <c r="K7" s="35">
        <v>50824</v>
      </c>
      <c r="L7" s="35">
        <v>52650</v>
      </c>
      <c r="M7" s="35">
        <v>52650</v>
      </c>
      <c r="N7" s="36">
        <v>5.8076635950826656</v>
      </c>
      <c r="O7" s="84">
        <v>2917098.6240153364</v>
      </c>
      <c r="P7" s="3" t="s">
        <v>590</v>
      </c>
      <c r="Q7" s="37">
        <v>1.3345763340391199</v>
      </c>
      <c r="R7" s="37">
        <v>-320.28947627237721</v>
      </c>
      <c r="S7" s="37">
        <v>2926.0435216408723</v>
      </c>
      <c r="T7" s="37">
        <v>1.3898943097092136</v>
      </c>
      <c r="U7" s="19">
        <v>0.40544587783794922</v>
      </c>
      <c r="V7" s="26"/>
      <c r="W7" s="83">
        <v>4064265.8816619813</v>
      </c>
      <c r="X7" s="3">
        <v>15</v>
      </c>
      <c r="Y7" s="78">
        <v>3892378.9568296643</v>
      </c>
      <c r="Z7" s="80">
        <v>2917098.6240153364</v>
      </c>
      <c r="AB7" s="3" t="s">
        <v>591</v>
      </c>
    </row>
    <row r="8" spans="1:28" ht="12.75" customHeight="1">
      <c r="A8" s="3">
        <v>2.7831999999999999</v>
      </c>
      <c r="B8" s="54">
        <v>25</v>
      </c>
      <c r="C8" s="92">
        <v>4.17</v>
      </c>
      <c r="D8" s="33">
        <v>0.34103013914235092</v>
      </c>
      <c r="E8" s="46">
        <v>300</v>
      </c>
      <c r="F8" s="67">
        <v>5.8076635950826656</v>
      </c>
      <c r="G8" s="44">
        <v>15.952500765160204</v>
      </c>
      <c r="H8" s="76">
        <v>2.8076635950826656</v>
      </c>
      <c r="J8" s="38">
        <v>4</v>
      </c>
      <c r="K8" s="35">
        <v>52650</v>
      </c>
      <c r="L8" s="35">
        <v>54477</v>
      </c>
      <c r="M8" s="35">
        <v>54477</v>
      </c>
      <c r="N8" s="36">
        <v>5.8076635950826656</v>
      </c>
      <c r="O8" s="84">
        <v>970909.14560050436</v>
      </c>
      <c r="P8" s="3" t="s">
        <v>592</v>
      </c>
      <c r="Q8" s="37">
        <v>1.2261131563894263</v>
      </c>
      <c r="R8" s="37">
        <v>-196.24416287429341</v>
      </c>
      <c r="S8" s="37">
        <v>2789.3203648544268</v>
      </c>
      <c r="T8" s="37">
        <v>1.279937122057772</v>
      </c>
      <c r="U8" s="19">
        <v>0.12427026575994798</v>
      </c>
      <c r="V8" s="26"/>
      <c r="W8" s="83">
        <v>1443664.7080556955</v>
      </c>
      <c r="X8" s="3">
        <v>20</v>
      </c>
      <c r="Y8" s="78">
        <v>1941818.2912010087</v>
      </c>
      <c r="Z8" s="81">
        <v>970909.14560050436</v>
      </c>
      <c r="AB8" s="3" t="s">
        <v>593</v>
      </c>
    </row>
    <row r="9" spans="1:28" ht="12.75" customHeight="1">
      <c r="I9" s="27">
        <v>20</v>
      </c>
      <c r="J9" s="38">
        <v>1</v>
      </c>
      <c r="K9" s="35">
        <v>47172</v>
      </c>
      <c r="L9" s="35">
        <v>48998</v>
      </c>
      <c r="M9" s="35">
        <v>48998</v>
      </c>
      <c r="N9" s="36">
        <v>5.8138926595133729</v>
      </c>
      <c r="O9" s="84">
        <v>6080419.654909173</v>
      </c>
      <c r="P9" s="3" t="s">
        <v>594</v>
      </c>
      <c r="Q9" s="37">
        <v>0.59730700787690083</v>
      </c>
      <c r="R9" s="37">
        <v>-391.93279882486462</v>
      </c>
      <c r="S9" s="37">
        <v>1676.4541190905886</v>
      </c>
      <c r="T9" s="37">
        <v>0.626916762270464</v>
      </c>
      <c r="U9" s="19">
        <v>0.38119170033013516</v>
      </c>
      <c r="V9" s="26"/>
      <c r="W9" s="83">
        <v>6991396.7419060897</v>
      </c>
      <c r="X9" s="3">
        <v>5</v>
      </c>
      <c r="Y9" s="78">
        <v>7348565.2678747075</v>
      </c>
      <c r="Z9" s="80">
        <v>6080419.654909173</v>
      </c>
      <c r="AB9" s="3" t="s">
        <v>595</v>
      </c>
    </row>
    <row r="10" spans="1:28" ht="12.75" customHeight="1">
      <c r="J10" s="38">
        <v>2</v>
      </c>
      <c r="K10" s="35">
        <v>48998</v>
      </c>
      <c r="L10" s="35">
        <v>50824</v>
      </c>
      <c r="M10" s="35">
        <v>50824</v>
      </c>
      <c r="N10" s="36">
        <v>5.8138926595133729</v>
      </c>
      <c r="O10" s="84">
        <v>3590911.2318725227</v>
      </c>
      <c r="P10" s="3" t="s">
        <v>596</v>
      </c>
      <c r="Q10" s="37">
        <v>1.2215106780769021</v>
      </c>
      <c r="R10" s="37">
        <v>-466.07896109293796</v>
      </c>
      <c r="S10" s="37">
        <v>2784.1698936463486</v>
      </c>
      <c r="T10" s="37">
        <v>1.2725332863388996</v>
      </c>
      <c r="U10" s="19">
        <v>0.45695540708460081</v>
      </c>
      <c r="V10" s="26"/>
      <c r="W10" s="83">
        <v>4529361.0310600232</v>
      </c>
      <c r="X10" s="3">
        <v>10</v>
      </c>
      <c r="Y10" s="78">
        <v>4812274.0419436386</v>
      </c>
      <c r="Z10" s="80">
        <v>3590911.2318725227</v>
      </c>
      <c r="AB10" s="3" t="s">
        <v>597</v>
      </c>
    </row>
    <row r="11" spans="1:28" ht="12.75" customHeight="1">
      <c r="C11" s="65"/>
      <c r="F11" s="65"/>
      <c r="J11" s="38">
        <v>3</v>
      </c>
      <c r="K11" s="35">
        <v>50824</v>
      </c>
      <c r="L11" s="35">
        <v>52650</v>
      </c>
      <c r="M11" s="35">
        <v>52650</v>
      </c>
      <c r="N11" s="36">
        <v>5.8138926595133729</v>
      </c>
      <c r="O11" s="84">
        <v>1184774.2109007034</v>
      </c>
      <c r="P11" s="3" t="s">
        <v>598</v>
      </c>
      <c r="Q11" s="37">
        <v>1.3316381709045324</v>
      </c>
      <c r="R11" s="37">
        <v>-319.63196761029252</v>
      </c>
      <c r="S11" s="37">
        <v>2922.0136212327689</v>
      </c>
      <c r="T11" s="37">
        <v>1.3868821236530848</v>
      </c>
      <c r="U11" s="19">
        <v>0.16431421736633756</v>
      </c>
      <c r="V11" s="26"/>
      <c r="W11" s="83">
        <v>1595333.1995575875</v>
      </c>
      <c r="X11" s="3">
        <v>15</v>
      </c>
      <c r="Y11" s="78">
        <v>2369548.4218014069</v>
      </c>
      <c r="Z11" s="81">
        <v>1184774.2109007034</v>
      </c>
      <c r="AB11" s="3" t="s">
        <v>599</v>
      </c>
    </row>
    <row r="12" spans="1:28" ht="12.75" customHeight="1">
      <c r="I12" s="27">
        <v>15</v>
      </c>
      <c r="J12" s="38">
        <v>1</v>
      </c>
      <c r="K12" s="35">
        <v>47172</v>
      </c>
      <c r="L12" s="35">
        <v>48998</v>
      </c>
      <c r="M12" s="35">
        <v>48998</v>
      </c>
      <c r="N12" s="36">
        <v>5.8235614208044879</v>
      </c>
      <c r="O12" s="84">
        <v>4887910.6480698874</v>
      </c>
      <c r="P12" s="3" t="s">
        <v>600</v>
      </c>
      <c r="Q12" s="37">
        <v>0.59445602273194298</v>
      </c>
      <c r="R12" s="37">
        <v>-390.10486990291031</v>
      </c>
      <c r="S12" s="37">
        <v>1670.8018432847755</v>
      </c>
      <c r="T12" s="37">
        <v>0.6239710108986094</v>
      </c>
      <c r="U12" s="19">
        <v>0.30499145482582446</v>
      </c>
      <c r="V12" s="26"/>
      <c r="W12" s="83">
        <v>5583232.6187666878</v>
      </c>
      <c r="X12" s="3">
        <v>5</v>
      </c>
      <c r="Y12" s="78">
        <v>6549940.8922798783</v>
      </c>
      <c r="Z12" s="80">
        <v>4887910.6480698874</v>
      </c>
      <c r="AB12" s="3" t="s">
        <v>601</v>
      </c>
    </row>
    <row r="13" spans="1:28" ht="12.75" customHeight="1">
      <c r="J13" s="38">
        <v>2</v>
      </c>
      <c r="K13" s="35">
        <v>48998</v>
      </c>
      <c r="L13" s="35">
        <v>50824</v>
      </c>
      <c r="M13" s="35">
        <v>50824</v>
      </c>
      <c r="N13" s="36">
        <v>5.8235614208044879</v>
      </c>
      <c r="O13" s="84">
        <v>1612940.2019299481</v>
      </c>
      <c r="P13" s="3" t="s">
        <v>602</v>
      </c>
      <c r="Q13" s="37">
        <v>1.2168076570355877</v>
      </c>
      <c r="R13" s="37">
        <v>-464.39059468638442</v>
      </c>
      <c r="S13" s="37">
        <v>2777.5359462459714</v>
      </c>
      <c r="T13" s="37">
        <v>1.2677144700136433</v>
      </c>
      <c r="U13" s="19">
        <v>0.20447476332533226</v>
      </c>
      <c r="V13" s="26"/>
      <c r="W13" s="83">
        <v>1966808.7900913674</v>
      </c>
      <c r="X13" s="3">
        <v>10</v>
      </c>
      <c r="Y13" s="78">
        <v>3225880.4038598961</v>
      </c>
      <c r="Z13" s="81">
        <v>1612940.2019299481</v>
      </c>
      <c r="AB13" s="3" t="s">
        <v>603</v>
      </c>
    </row>
    <row r="14" spans="1:28" ht="12.75" customHeight="1">
      <c r="I14" s="39">
        <v>10</v>
      </c>
      <c r="J14" s="38">
        <v>1</v>
      </c>
      <c r="K14" s="35">
        <v>47172</v>
      </c>
      <c r="L14" s="35">
        <v>48998</v>
      </c>
      <c r="M14" s="35">
        <v>48998</v>
      </c>
      <c r="N14" s="36">
        <v>5.84614974075863</v>
      </c>
      <c r="O14" s="84">
        <v>2466320.0634785267</v>
      </c>
      <c r="P14" s="3" t="s">
        <v>604</v>
      </c>
      <c r="Q14" s="37">
        <v>0.5878165824057443</v>
      </c>
      <c r="R14" s="37">
        <v>-385.84287159083181</v>
      </c>
      <c r="S14" s="37">
        <v>1657.5419145558849</v>
      </c>
      <c r="T14" s="37">
        <v>0.6171089919809537</v>
      </c>
      <c r="U14" s="19">
        <v>0.15219882882756353</v>
      </c>
      <c r="V14" s="26"/>
      <c r="W14" s="83">
        <v>2723462.3314590491</v>
      </c>
      <c r="X14" s="3">
        <v>5</v>
      </c>
      <c r="Y14" s="78">
        <v>4932640.1269570533</v>
      </c>
      <c r="Z14" s="81">
        <v>2466320.0634785267</v>
      </c>
      <c r="AB14" s="3" t="s">
        <v>605</v>
      </c>
    </row>
    <row r="17" spans="1:28" ht="45" customHeight="1">
      <c r="A17" s="3" t="s">
        <v>427</v>
      </c>
      <c r="B17" s="47">
        <v>111</v>
      </c>
      <c r="C17" s="29" t="s">
        <v>285</v>
      </c>
      <c r="D17" s="29" t="s">
        <v>287</v>
      </c>
      <c r="E17" s="29" t="s">
        <v>286</v>
      </c>
      <c r="F17" s="29" t="s">
        <v>288</v>
      </c>
      <c r="G17" s="30" t="s">
        <v>293</v>
      </c>
      <c r="H17" s="68" t="s">
        <v>427</v>
      </c>
      <c r="Q17" s="29" t="s">
        <v>291</v>
      </c>
      <c r="R17" s="29" t="s">
        <v>289</v>
      </c>
      <c r="S17" s="29" t="s">
        <v>290</v>
      </c>
      <c r="T17" s="29" t="s">
        <v>292</v>
      </c>
      <c r="U17" s="29" t="s">
        <v>294</v>
      </c>
    </row>
    <row r="18" spans="1:28" ht="12.75" customHeight="1">
      <c r="A18" s="3">
        <v>3.6924999999999999</v>
      </c>
      <c r="B18" s="31">
        <v>10</v>
      </c>
      <c r="C18" s="32">
        <v>1.38</v>
      </c>
      <c r="D18" s="33">
        <v>0.11427897418165855</v>
      </c>
      <c r="E18" s="46">
        <v>120</v>
      </c>
      <c r="F18" s="67">
        <v>4.6951791308097643</v>
      </c>
      <c r="G18" s="43">
        <v>13.398226994012699</v>
      </c>
      <c r="H18" s="76">
        <v>3.3151791308097645</v>
      </c>
      <c r="I18" s="27">
        <v>20</v>
      </c>
      <c r="J18" s="34">
        <v>1</v>
      </c>
      <c r="K18" s="35">
        <v>45712</v>
      </c>
      <c r="L18" s="35">
        <v>46077</v>
      </c>
      <c r="M18" s="35">
        <v>46077</v>
      </c>
      <c r="N18" s="72">
        <v>6.2910000000000004</v>
      </c>
      <c r="O18" s="87">
        <v>9224629.156394586</v>
      </c>
      <c r="P18" s="3" t="s">
        <v>606</v>
      </c>
      <c r="Q18" s="37">
        <v>2.815947971371296E-3</v>
      </c>
      <c r="R18" s="37">
        <v>-5.7134603077736106</v>
      </c>
      <c r="S18" s="37">
        <v>16.2823588067433</v>
      </c>
      <c r="T18" s="37">
        <v>3.0844605444284258E-3</v>
      </c>
      <c r="U18" s="19">
        <v>2.8453004669883176E-3</v>
      </c>
      <c r="W18" s="87">
        <v>9224629.156394586</v>
      </c>
      <c r="X18" s="3">
        <v>1</v>
      </c>
      <c r="Y18" s="78">
        <v>9485494.5973544214</v>
      </c>
      <c r="Z18" s="80">
        <v>9229666.3767655902</v>
      </c>
      <c r="AB18" s="3" t="s">
        <v>607</v>
      </c>
    </row>
    <row r="19" spans="1:28" ht="12.75" customHeight="1">
      <c r="A19" s="3">
        <v>3.6924999999999999</v>
      </c>
      <c r="B19" s="31">
        <v>15</v>
      </c>
      <c r="C19" s="32">
        <v>1.58</v>
      </c>
      <c r="D19" s="33">
        <v>0.13072269593599195</v>
      </c>
      <c r="E19" s="46">
        <v>180</v>
      </c>
      <c r="F19" s="67">
        <v>4.8876213357642548</v>
      </c>
      <c r="G19" s="44">
        <v>20.867429164198999</v>
      </c>
      <c r="H19" s="76">
        <v>3.3076213357642548</v>
      </c>
      <c r="J19" s="34">
        <v>2</v>
      </c>
      <c r="K19" s="35">
        <v>46076</v>
      </c>
      <c r="L19" s="35">
        <v>46441</v>
      </c>
      <c r="M19" s="35">
        <v>46441</v>
      </c>
      <c r="N19" s="69">
        <v>6.2910000000000004</v>
      </c>
      <c r="O19" s="87">
        <v>8711366.6642512865</v>
      </c>
      <c r="P19" s="3" t="s">
        <v>608</v>
      </c>
      <c r="Q19" s="37">
        <v>1.9025500325514012E-2</v>
      </c>
      <c r="R19" s="37">
        <v>-23.131580712462263</v>
      </c>
      <c r="S19" s="37">
        <v>78.137841892572254</v>
      </c>
      <c r="T19" s="37">
        <v>2.0356941356240835E-2</v>
      </c>
      <c r="U19" s="19">
        <v>1.7733678031687478E-2</v>
      </c>
      <c r="W19" s="87">
        <v>8711366.6642512865</v>
      </c>
      <c r="X19" s="3">
        <v>2</v>
      </c>
      <c r="Y19" s="78">
        <v>8973838.1561767589</v>
      </c>
      <c r="Z19" s="80">
        <v>8719323.6874277443</v>
      </c>
      <c r="AB19" s="3" t="s">
        <v>609</v>
      </c>
    </row>
    <row r="20" spans="1:28" ht="12.75" customHeight="1">
      <c r="A20" s="3">
        <v>3.6924999999999999</v>
      </c>
      <c r="B20" s="54">
        <v>20</v>
      </c>
      <c r="C20" s="57">
        <v>4.33</v>
      </c>
      <c r="D20" s="33">
        <v>0.35386434752657792</v>
      </c>
      <c r="E20" s="46">
        <v>240</v>
      </c>
      <c r="F20" s="67">
        <v>6.2910000000000004</v>
      </c>
      <c r="G20" s="44">
        <v>16.760257895616494</v>
      </c>
      <c r="H20" s="76">
        <v>3.2909999999999999</v>
      </c>
      <c r="J20" s="34">
        <v>3</v>
      </c>
      <c r="K20" s="35">
        <v>46441</v>
      </c>
      <c r="L20" s="35">
        <v>46806</v>
      </c>
      <c r="M20" s="35">
        <v>46806</v>
      </c>
      <c r="N20" s="69">
        <v>6.2910000000000004</v>
      </c>
      <c r="O20" s="87">
        <v>8200993.7978120046</v>
      </c>
      <c r="P20" s="3" t="s">
        <v>610</v>
      </c>
      <c r="Q20" s="37">
        <v>4.5781466961997655E-2</v>
      </c>
      <c r="R20" s="37">
        <v>-41.48083373771356</v>
      </c>
      <c r="S20" s="37">
        <v>156.16754659894113</v>
      </c>
      <c r="T20" s="37">
        <v>4.8490009556599344E-2</v>
      </c>
      <c r="U20" s="19">
        <v>3.9766626762951604E-2</v>
      </c>
      <c r="W20" s="87">
        <v>8200993.7978120046</v>
      </c>
      <c r="X20" s="3">
        <v>3</v>
      </c>
      <c r="Y20" s="78">
        <v>8464809.2186787277</v>
      </c>
      <c r="Z20" s="80">
        <v>8211498.0600344613</v>
      </c>
      <c r="AB20" s="3" t="s">
        <v>611</v>
      </c>
    </row>
    <row r="21" spans="1:28" ht="12.75" customHeight="1">
      <c r="C21" s="40"/>
      <c r="D21" s="40"/>
      <c r="G21" s="42"/>
      <c r="J21" s="34">
        <v>4</v>
      </c>
      <c r="K21" s="35">
        <v>46806</v>
      </c>
      <c r="L21" s="35">
        <v>47172</v>
      </c>
      <c r="M21" s="35">
        <v>47172</v>
      </c>
      <c r="N21" s="69">
        <v>6.2910000000000004</v>
      </c>
      <c r="O21" s="87">
        <v>7693287.2998107243</v>
      </c>
      <c r="P21" s="3" t="s">
        <v>612</v>
      </c>
      <c r="Q21" s="37">
        <v>7.3498092656383074E-2</v>
      </c>
      <c r="R21" s="37">
        <v>-55.330052048969904</v>
      </c>
      <c r="S21" s="37">
        <v>228.43291198278649</v>
      </c>
      <c r="T21" s="37">
        <v>7.7513450375549103E-2</v>
      </c>
      <c r="U21" s="19">
        <v>5.963332433387207E-2</v>
      </c>
      <c r="W21" s="87">
        <v>7693287.2998107243</v>
      </c>
      <c r="X21" s="3">
        <v>4</v>
      </c>
      <c r="Y21" s="78">
        <v>7958186.901390194</v>
      </c>
      <c r="Z21" s="80">
        <v>7705968.849580558</v>
      </c>
      <c r="AB21" s="3" t="s">
        <v>613</v>
      </c>
    </row>
    <row r="22" spans="1:28" ht="12.75" customHeight="1">
      <c r="C22" s="19"/>
      <c r="F22" s="65"/>
      <c r="J22" s="34">
        <v>5</v>
      </c>
      <c r="K22" s="35">
        <v>47172</v>
      </c>
      <c r="L22" s="35">
        <v>47539</v>
      </c>
      <c r="M22" s="35">
        <v>47539</v>
      </c>
      <c r="N22" s="69">
        <v>6.2910000000000004</v>
      </c>
      <c r="O22" s="87">
        <v>7188024.6660905126</v>
      </c>
      <c r="P22" s="3" t="s">
        <v>614</v>
      </c>
      <c r="Q22" s="37">
        <v>9.8547034458704524E-2</v>
      </c>
      <c r="R22" s="37">
        <v>-65.248160113261704</v>
      </c>
      <c r="S22" s="37">
        <v>292.14750264002805</v>
      </c>
      <c r="T22" s="37">
        <v>0.10373750291037247</v>
      </c>
      <c r="U22" s="19">
        <v>7.4566772971839376E-2</v>
      </c>
      <c r="W22" s="87">
        <v>7188024.6660905126</v>
      </c>
      <c r="X22" s="3">
        <v>5</v>
      </c>
      <c r="Y22" s="78">
        <v>7453750.797770923</v>
      </c>
      <c r="Z22" s="80">
        <v>7202515.8392709037</v>
      </c>
      <c r="AB22" s="3" t="s">
        <v>615</v>
      </c>
    </row>
    <row r="23" spans="1:28" ht="12.75" customHeight="1">
      <c r="F23" s="68"/>
      <c r="J23" s="34">
        <v>6</v>
      </c>
      <c r="K23" s="35">
        <v>47539</v>
      </c>
      <c r="L23" s="35">
        <v>47904</v>
      </c>
      <c r="M23" s="35">
        <v>47904</v>
      </c>
      <c r="N23" s="69">
        <v>6.2910000000000004</v>
      </c>
      <c r="O23" s="87">
        <v>6684984.0472655045</v>
      </c>
      <c r="P23" s="3" t="s">
        <v>616</v>
      </c>
      <c r="Q23" s="37">
        <v>0.12997002846652</v>
      </c>
      <c r="R23" s="37">
        <v>-74.808449224238487</v>
      </c>
      <c r="S23" s="37">
        <v>356.91834318678838</v>
      </c>
      <c r="T23" s="37">
        <v>0.13636031083801339</v>
      </c>
      <c r="U23" s="19">
        <v>9.1156650263228514E-2</v>
      </c>
      <c r="W23" s="87">
        <v>6684984.0472655045</v>
      </c>
      <c r="X23" s="3">
        <v>6</v>
      </c>
      <c r="Y23" s="78">
        <v>6951280.8807708845</v>
      </c>
      <c r="Z23" s="80">
        <v>6700919.1430331357</v>
      </c>
      <c r="AB23" s="3" t="s">
        <v>617</v>
      </c>
    </row>
    <row r="24" spans="1:28" ht="12.75" customHeight="1">
      <c r="J24" s="34">
        <v>7</v>
      </c>
      <c r="K24" s="35">
        <v>47903</v>
      </c>
      <c r="L24" s="35">
        <v>48268</v>
      </c>
      <c r="M24" s="35">
        <v>48268</v>
      </c>
      <c r="N24" s="69">
        <v>6.2910000000000004</v>
      </c>
      <c r="O24" s="87">
        <v>6183944.1504814569</v>
      </c>
      <c r="P24" s="3" t="s">
        <v>618</v>
      </c>
      <c r="Q24" s="37">
        <v>0.16135935830078624</v>
      </c>
      <c r="R24" s="37">
        <v>-82.517358977341885</v>
      </c>
      <c r="S24" s="37">
        <v>416.98602405907218</v>
      </c>
      <c r="T24" s="37">
        <v>0.16887390519219425</v>
      </c>
      <c r="U24" s="19">
        <v>0.10443067981822297</v>
      </c>
      <c r="W24" s="87">
        <v>6183944.1504814569</v>
      </c>
      <c r="X24" s="3">
        <v>7</v>
      </c>
      <c r="Y24" s="78">
        <v>6450557.4052953878</v>
      </c>
      <c r="Z24" s="80">
        <v>6200959.1079132184</v>
      </c>
      <c r="AB24" s="3" t="s">
        <v>619</v>
      </c>
    </row>
    <row r="25" spans="1:28" ht="12.75" customHeight="1">
      <c r="B25" s="58"/>
      <c r="J25" s="34">
        <v>8</v>
      </c>
      <c r="K25" s="35">
        <v>48267</v>
      </c>
      <c r="L25" s="35">
        <v>48633</v>
      </c>
      <c r="M25" s="35">
        <v>48633</v>
      </c>
      <c r="N25" s="69">
        <v>6.2910000000000004</v>
      </c>
      <c r="O25" s="87">
        <v>5684684.141230965</v>
      </c>
      <c r="P25" s="3" t="s">
        <v>620</v>
      </c>
      <c r="Q25" s="37">
        <v>0.19260909336627491</v>
      </c>
      <c r="R25" s="37">
        <v>-88.921545530289947</v>
      </c>
      <c r="S25" s="37">
        <v>471.39548364334911</v>
      </c>
      <c r="T25" s="37">
        <v>0.201147787583839</v>
      </c>
      <c r="U25" s="19">
        <v>0.11434616381215443</v>
      </c>
      <c r="W25" s="87">
        <v>5684684.141230965</v>
      </c>
      <c r="X25" s="3">
        <v>8</v>
      </c>
      <c r="Y25" s="78">
        <v>5951360.8105310481</v>
      </c>
      <c r="Z25" s="80">
        <v>5702416.2163097542</v>
      </c>
      <c r="AB25" s="3" t="s">
        <v>621</v>
      </c>
    </row>
    <row r="26" spans="1:28" ht="12.75" customHeight="1">
      <c r="J26" s="34">
        <v>9</v>
      </c>
      <c r="K26" s="35">
        <v>48633</v>
      </c>
      <c r="L26" s="35">
        <v>48998</v>
      </c>
      <c r="M26" s="35">
        <v>48998</v>
      </c>
      <c r="N26" s="69">
        <v>6.2910000000000004</v>
      </c>
      <c r="O26" s="87">
        <v>5186983.545179395</v>
      </c>
      <c r="P26" s="3" t="s">
        <v>622</v>
      </c>
      <c r="Q26" s="37">
        <v>0.22211618352585905</v>
      </c>
      <c r="R26" s="37">
        <v>-91.510745681356639</v>
      </c>
      <c r="S26" s="37">
        <v>518.0473784551167</v>
      </c>
      <c r="T26" s="37">
        <v>0.23156202363814782</v>
      </c>
      <c r="U26" s="19">
        <v>0.12011084062995149</v>
      </c>
      <c r="W26" s="87">
        <v>5186983.545179395</v>
      </c>
      <c r="X26" s="3">
        <v>9</v>
      </c>
      <c r="Y26" s="78">
        <v>5453471.6220884612</v>
      </c>
      <c r="Z26" s="80">
        <v>5205070.9880028637</v>
      </c>
      <c r="AB26" s="3" t="s">
        <v>623</v>
      </c>
    </row>
    <row r="27" spans="1:28" ht="12.75" customHeight="1">
      <c r="B27" s="22"/>
      <c r="C27" s="55" t="s">
        <v>401</v>
      </c>
      <c r="D27" s="55" t="s">
        <v>402</v>
      </c>
      <c r="E27" s="55" t="s">
        <v>403</v>
      </c>
      <c r="F27" s="56" t="s">
        <v>404</v>
      </c>
      <c r="J27" s="34">
        <v>10</v>
      </c>
      <c r="K27" s="35">
        <v>48998</v>
      </c>
      <c r="L27" s="35">
        <v>49363</v>
      </c>
      <c r="M27" s="35">
        <v>49363</v>
      </c>
      <c r="N27" s="69">
        <v>6.2910000000000004</v>
      </c>
      <c r="O27" s="87">
        <v>4690622.1499575227</v>
      </c>
      <c r="P27" s="3" t="s">
        <v>624</v>
      </c>
      <c r="Q27" s="37">
        <v>0.2512121105716999</v>
      </c>
      <c r="R27" s="37">
        <v>-94.616452841677344</v>
      </c>
      <c r="S27" s="37">
        <v>560.15981542237455</v>
      </c>
      <c r="T27" s="37">
        <v>0.26146914235173063</v>
      </c>
      <c r="U27" s="19">
        <v>0.12264529506454244</v>
      </c>
      <c r="W27" s="87">
        <v>4690622.1499575227</v>
      </c>
      <c r="X27" s="3">
        <v>10</v>
      </c>
      <c r="Y27" s="78">
        <v>4956670.3539172662</v>
      </c>
      <c r="Z27" s="80">
        <v>4708703.8819331378</v>
      </c>
      <c r="AB27" s="3" t="s">
        <v>625</v>
      </c>
    </row>
    <row r="28" spans="1:28" ht="12.75" customHeight="1" thickBot="1">
      <c r="B28" s="22" t="s">
        <v>405</v>
      </c>
      <c r="C28" s="22"/>
      <c r="D28" s="22"/>
      <c r="E28" s="22"/>
      <c r="F28" s="22"/>
      <c r="H28" s="74" t="s">
        <v>32</v>
      </c>
      <c r="J28" s="34">
        <v>11</v>
      </c>
      <c r="K28" s="35">
        <v>49363</v>
      </c>
      <c r="L28" s="35">
        <v>49730</v>
      </c>
      <c r="M28" s="35">
        <v>49730</v>
      </c>
      <c r="N28" s="69">
        <v>6.2910000000000004</v>
      </c>
      <c r="O28" s="87">
        <v>4195379.9068767317</v>
      </c>
      <c r="P28" s="3" t="s">
        <v>626</v>
      </c>
      <c r="Q28" s="37">
        <v>0.28258441707151088</v>
      </c>
      <c r="R28" s="37">
        <v>-95.996005399985378</v>
      </c>
      <c r="S28" s="37">
        <v>599.74755453038597</v>
      </c>
      <c r="T28" s="37">
        <v>0.29361940810811876</v>
      </c>
      <c r="U28" s="19">
        <v>0.12318449650458405</v>
      </c>
      <c r="W28" s="87">
        <v>4195379.9068767317</v>
      </c>
      <c r="X28" s="3">
        <v>11</v>
      </c>
      <c r="Y28" s="78">
        <v>4460737.4099490084</v>
      </c>
      <c r="Z28" s="80">
        <v>4213095.197686011</v>
      </c>
      <c r="AB28" s="3" t="s">
        <v>627</v>
      </c>
    </row>
    <row r="29" spans="1:28" ht="12.75" customHeight="1" thickBot="1">
      <c r="A29" s="3" t="s">
        <v>418</v>
      </c>
      <c r="B29" s="89" t="s">
        <v>406</v>
      </c>
      <c r="C29" s="94">
        <v>6.27</v>
      </c>
      <c r="D29" s="94">
        <v>3.360295861419599</v>
      </c>
      <c r="E29" s="94">
        <v>-1.94</v>
      </c>
      <c r="F29" s="94">
        <v>4.33</v>
      </c>
      <c r="J29" s="34">
        <v>12</v>
      </c>
      <c r="K29" s="35">
        <v>49730</v>
      </c>
      <c r="L29" s="35">
        <v>50096</v>
      </c>
      <c r="M29" s="35">
        <v>50096</v>
      </c>
      <c r="N29" s="69">
        <v>6.2910000000000004</v>
      </c>
      <c r="O29" s="87">
        <v>3701036.8325225255</v>
      </c>
      <c r="P29" s="3" t="s">
        <v>628</v>
      </c>
      <c r="Q29" s="37">
        <v>0.29673363300780942</v>
      </c>
      <c r="R29" s="37">
        <v>-92.164195387895958</v>
      </c>
      <c r="S29" s="37">
        <v>614.60415484110786</v>
      </c>
      <c r="T29" s="37">
        <v>0.30810407415075264</v>
      </c>
      <c r="U29" s="19">
        <v>0.11403045266821869</v>
      </c>
      <c r="W29" s="87">
        <v>3701036.8325225255</v>
      </c>
      <c r="X29" s="3">
        <v>12</v>
      </c>
      <c r="Y29" s="78">
        <v>3965452.9854230131</v>
      </c>
      <c r="Z29" s="80">
        <v>3718024.9766366133</v>
      </c>
      <c r="AB29" s="3" t="s">
        <v>629</v>
      </c>
    </row>
    <row r="30" spans="1:28" ht="12.75" customHeight="1" thickBot="1">
      <c r="B30" s="90" t="s">
        <v>433</v>
      </c>
      <c r="C30" s="94">
        <v>5.23</v>
      </c>
      <c r="D30" s="94">
        <v>2.5449718449731664</v>
      </c>
      <c r="E30" s="94">
        <v>-1.58</v>
      </c>
      <c r="F30" s="94">
        <v>3.6500000000000004</v>
      </c>
      <c r="J30" s="34">
        <v>13</v>
      </c>
      <c r="K30" s="35">
        <v>50094</v>
      </c>
      <c r="L30" s="35">
        <v>50459</v>
      </c>
      <c r="M30" s="35">
        <v>50459</v>
      </c>
      <c r="N30" s="69">
        <v>6.2910000000000004</v>
      </c>
      <c r="O30" s="87">
        <v>3207372.9101819592</v>
      </c>
      <c r="P30" s="3" t="s">
        <v>630</v>
      </c>
      <c r="Q30" s="37">
        <v>0.32322485687308083</v>
      </c>
      <c r="R30" s="37">
        <v>-89.566913850996215</v>
      </c>
      <c r="S30" s="37">
        <v>638.74477885984061</v>
      </c>
      <c r="T30" s="37">
        <v>0.33510408331176766</v>
      </c>
      <c r="U30" s="19">
        <v>0.1074803758905522</v>
      </c>
      <c r="W30" s="87">
        <v>3207372.9101819592</v>
      </c>
      <c r="X30" s="3">
        <v>13</v>
      </c>
      <c r="Y30" s="78">
        <v>3470596.9678502134</v>
      </c>
      <c r="Z30" s="80">
        <v>3223272.9027098888</v>
      </c>
      <c r="AB30" s="3" t="s">
        <v>631</v>
      </c>
    </row>
    <row r="31" spans="1:28" ht="12.75" customHeight="1" thickBot="1">
      <c r="B31" s="90" t="s">
        <v>434</v>
      </c>
      <c r="C31" s="94">
        <v>5.23</v>
      </c>
      <c r="D31" s="94">
        <v>2.5187488537535914</v>
      </c>
      <c r="E31" s="94">
        <v>-1.65</v>
      </c>
      <c r="F31" s="94">
        <v>3.5800000000000005</v>
      </c>
      <c r="J31" s="34">
        <v>14</v>
      </c>
      <c r="K31" s="35">
        <v>50459</v>
      </c>
      <c r="L31" s="35">
        <v>50824</v>
      </c>
      <c r="M31" s="35">
        <v>50824</v>
      </c>
      <c r="N31" s="69">
        <v>6.2910000000000004</v>
      </c>
      <c r="O31" s="87">
        <v>2714167.9910604316</v>
      </c>
      <c r="P31" s="3" t="s">
        <v>632</v>
      </c>
      <c r="Q31" s="37">
        <v>0.34975929861040383</v>
      </c>
      <c r="R31" s="37">
        <v>-86.830735037345946</v>
      </c>
      <c r="S31" s="37">
        <v>660.4690249882965</v>
      </c>
      <c r="T31" s="37">
        <v>0.36210037175979631</v>
      </c>
      <c r="U31" s="19">
        <v>9.8280123858152185E-2</v>
      </c>
      <c r="W31" s="87">
        <v>2714167.9910604316</v>
      </c>
      <c r="X31" s="3">
        <v>14</v>
      </c>
      <c r="Y31" s="78">
        <v>2975948.8375695641</v>
      </c>
      <c r="Z31" s="80">
        <v>2728618.2027104781</v>
      </c>
      <c r="AB31" s="3" t="s">
        <v>633</v>
      </c>
    </row>
    <row r="32" spans="1:28" ht="12.75" customHeight="1" thickBot="1">
      <c r="B32" s="90" t="s">
        <v>435</v>
      </c>
      <c r="C32" s="94">
        <v>5.23</v>
      </c>
      <c r="D32" s="94">
        <v>2.5077452165485559</v>
      </c>
      <c r="E32" s="94">
        <v>-1.66</v>
      </c>
      <c r="F32" s="94">
        <v>3.5700000000000003</v>
      </c>
      <c r="J32" s="34">
        <v>15</v>
      </c>
      <c r="K32" s="35">
        <v>50824</v>
      </c>
      <c r="L32" s="35">
        <v>51189</v>
      </c>
      <c r="M32" s="35">
        <v>51189</v>
      </c>
      <c r="N32" s="69">
        <v>6.2910000000000004</v>
      </c>
      <c r="O32" s="87">
        <v>2221201.6952431025</v>
      </c>
      <c r="P32" s="3" t="s">
        <v>634</v>
      </c>
      <c r="Q32" s="37">
        <v>0.30765252780748914</v>
      </c>
      <c r="R32" s="37">
        <v>-69.539507982625409</v>
      </c>
      <c r="S32" s="37">
        <v>615.91291180331916</v>
      </c>
      <c r="T32" s="37">
        <v>0.31927539096372926</v>
      </c>
      <c r="U32" s="19">
        <v>7.0917503965803971E-2</v>
      </c>
      <c r="W32" s="87">
        <v>2221201.6952431025</v>
      </c>
      <c r="X32" s="3">
        <v>15</v>
      </c>
      <c r="Y32" s="78">
        <v>2481287.5678513921</v>
      </c>
      <c r="Z32" s="80">
        <v>2233839.5461765444</v>
      </c>
      <c r="AB32" s="3" t="s">
        <v>635</v>
      </c>
    </row>
    <row r="33" spans="2:28" ht="12.75" customHeight="1" thickBot="1">
      <c r="B33" s="91" t="s">
        <v>436</v>
      </c>
      <c r="C33" s="94">
        <v>5.25</v>
      </c>
      <c r="D33" s="94">
        <v>2.5018092282127609</v>
      </c>
      <c r="E33" s="94">
        <v>-1.08</v>
      </c>
      <c r="F33" s="94">
        <v>4.17</v>
      </c>
      <c r="J33" s="34">
        <v>16</v>
      </c>
      <c r="K33" s="35">
        <v>51189</v>
      </c>
      <c r="L33" s="35">
        <v>51557</v>
      </c>
      <c r="M33" s="35">
        <v>51557</v>
      </c>
      <c r="N33" s="69">
        <v>6.2910000000000004</v>
      </c>
      <c r="O33" s="87">
        <v>1728253.3123559833</v>
      </c>
      <c r="P33" s="3" t="s">
        <v>636</v>
      </c>
      <c r="Q33" s="37">
        <v>0.32761533791600561</v>
      </c>
      <c r="R33" s="37">
        <v>-67.47837131412507</v>
      </c>
      <c r="S33" s="37">
        <v>636.0287385257767</v>
      </c>
      <c r="T33" s="37">
        <v>0.33966112897337991</v>
      </c>
      <c r="U33" s="19">
        <v>5.8702047122681664E-2</v>
      </c>
      <c r="W33" s="87">
        <v>1728253.3123559833</v>
      </c>
      <c r="X33" s="3">
        <v>16</v>
      </c>
      <c r="Y33" s="78">
        <v>1986391.5245016969</v>
      </c>
      <c r="Z33" s="80">
        <v>1738714.9447113839</v>
      </c>
      <c r="AB33" s="3" t="s">
        <v>637</v>
      </c>
    </row>
    <row r="34" spans="2:28" ht="12.75" customHeight="1" thickBot="1">
      <c r="B34" s="91" t="s">
        <v>407</v>
      </c>
      <c r="C34" s="94">
        <v>5.14</v>
      </c>
      <c r="D34" s="94">
        <v>2.5268439152801316</v>
      </c>
      <c r="E34" s="94">
        <v>-2</v>
      </c>
      <c r="F34" s="94">
        <v>3.1399999999999997</v>
      </c>
      <c r="J34" s="34">
        <v>17</v>
      </c>
      <c r="K34" s="35">
        <v>51557</v>
      </c>
      <c r="L34" s="35">
        <v>51922</v>
      </c>
      <c r="M34" s="35">
        <v>51922</v>
      </c>
      <c r="N34" s="69">
        <v>6.2910000000000004</v>
      </c>
      <c r="O34" s="87">
        <v>1235101.7018815391</v>
      </c>
      <c r="P34" s="3" t="s">
        <v>638</v>
      </c>
      <c r="Q34" s="37">
        <v>0.34094026484424994</v>
      </c>
      <c r="R34" s="37">
        <v>-63.661236987173105</v>
      </c>
      <c r="S34" s="37">
        <v>645.05184041155371</v>
      </c>
      <c r="T34" s="37">
        <v>0.35320468928260929</v>
      </c>
      <c r="U34" s="19">
        <v>4.3624371284549095E-2</v>
      </c>
      <c r="W34" s="87">
        <v>1235101.7018815391</v>
      </c>
      <c r="X34" s="3">
        <v>17</v>
      </c>
      <c r="Y34" s="78">
        <v>1491038.3649210709</v>
      </c>
      <c r="Z34" s="80">
        <v>1243021.6507462976</v>
      </c>
      <c r="AB34" s="3" t="s">
        <v>639</v>
      </c>
    </row>
    <row r="35" spans="2:28" ht="12.75" customHeight="1" thickBot="1">
      <c r="B35" s="91" t="s">
        <v>408</v>
      </c>
      <c r="C35" s="94">
        <v>5.47</v>
      </c>
      <c r="D35" s="94">
        <v>2.5259967952078721</v>
      </c>
      <c r="E35" s="94">
        <v>-0.32</v>
      </c>
      <c r="F35" s="94">
        <v>5.1499999999999995</v>
      </c>
      <c r="J35" s="34">
        <v>18</v>
      </c>
      <c r="K35" s="35">
        <v>51921</v>
      </c>
      <c r="L35" s="35">
        <v>52286</v>
      </c>
      <c r="M35" s="35">
        <v>52286</v>
      </c>
      <c r="N35" s="69">
        <v>6.2910000000000004</v>
      </c>
      <c r="O35" s="87">
        <v>741525.1930833871</v>
      </c>
      <c r="P35" s="3" t="s">
        <v>640</v>
      </c>
      <c r="Q35" s="37">
        <v>0.35538846435056864</v>
      </c>
      <c r="R35" s="37">
        <v>-60.464351076589445</v>
      </c>
      <c r="S35" s="37">
        <v>656.15100065260799</v>
      </c>
      <c r="T35" s="37">
        <v>0.36790684085285491</v>
      </c>
      <c r="U35" s="19">
        <v>2.7281219120011222E-2</v>
      </c>
      <c r="W35" s="87">
        <v>741525.1930833871</v>
      </c>
      <c r="X35" s="3">
        <v>18</v>
      </c>
      <c r="Y35" s="78">
        <v>995004.93657152448</v>
      </c>
      <c r="Z35" s="80">
        <v>746536.05568782985</v>
      </c>
      <c r="AB35" s="3" t="s">
        <v>641</v>
      </c>
    </row>
    <row r="36" spans="2:28" ht="12.75" customHeight="1" thickBot="1">
      <c r="B36" s="91" t="s">
        <v>409</v>
      </c>
      <c r="C36" s="94">
        <v>5.2</v>
      </c>
      <c r="D36" s="94">
        <v>2.5867226043033784</v>
      </c>
      <c r="E36" s="94">
        <v>-1.96</v>
      </c>
      <c r="F36" s="94">
        <v>3.24</v>
      </c>
      <c r="J36" s="34">
        <v>19</v>
      </c>
      <c r="K36" s="35">
        <v>52285</v>
      </c>
      <c r="L36" s="35">
        <v>52650</v>
      </c>
      <c r="M36" s="35">
        <v>52650</v>
      </c>
      <c r="N36" s="69">
        <v>6.2910000000000004</v>
      </c>
      <c r="O36" s="87">
        <v>247301.48449442096</v>
      </c>
      <c r="P36" s="3" t="s">
        <v>642</v>
      </c>
      <c r="Q36" s="37">
        <v>0.3680781498000899</v>
      </c>
      <c r="R36" s="37">
        <v>-57.123039693910691</v>
      </c>
      <c r="S36" s="37">
        <v>664.9004150987912</v>
      </c>
      <c r="T36" s="37">
        <v>0.38080492770512664</v>
      </c>
      <c r="U36" s="19">
        <v>9.4173623924268483E-3</v>
      </c>
      <c r="W36" s="87">
        <v>247301.48449442096</v>
      </c>
      <c r="X36" s="3">
        <v>19</v>
      </c>
      <c r="Y36" s="78">
        <v>498067.17480413534</v>
      </c>
      <c r="Z36" s="81">
        <v>249033.58740206767</v>
      </c>
      <c r="AB36" s="3" t="s">
        <v>643</v>
      </c>
    </row>
    <row r="37" spans="2:28" ht="12.75" customHeight="1" thickBot="1">
      <c r="B37" s="91" t="s">
        <v>410</v>
      </c>
      <c r="C37" s="94">
        <v>5.55</v>
      </c>
      <c r="D37" s="94">
        <v>2.5913726075931462</v>
      </c>
      <c r="E37" s="94">
        <v>-1.75</v>
      </c>
      <c r="F37" s="94">
        <v>3.8</v>
      </c>
      <c r="J37" s="34">
        <v>20</v>
      </c>
      <c r="M37" s="35"/>
      <c r="N37" s="70"/>
      <c r="O37" s="88"/>
      <c r="Q37" s="37"/>
      <c r="R37" s="26"/>
      <c r="S37" s="26"/>
      <c r="T37" s="37"/>
      <c r="U37" s="19"/>
      <c r="W37" s="88"/>
    </row>
    <row r="38" spans="2:28" ht="12.75" customHeight="1" thickBot="1">
      <c r="B38" s="91" t="s">
        <v>411</v>
      </c>
      <c r="C38" s="94">
        <v>5.19</v>
      </c>
      <c r="D38" s="94">
        <v>2.533743058249605</v>
      </c>
      <c r="E38" s="94">
        <v>-1.9</v>
      </c>
      <c r="F38" s="94">
        <v>3.2900000000000005</v>
      </c>
      <c r="I38" s="27">
        <v>15</v>
      </c>
      <c r="J38" s="34">
        <v>1</v>
      </c>
      <c r="K38" s="35">
        <v>45712</v>
      </c>
      <c r="L38" s="35">
        <v>46077</v>
      </c>
      <c r="M38" s="35">
        <v>46077</v>
      </c>
      <c r="N38" s="69">
        <v>4.8876213357642548</v>
      </c>
      <c r="O38" s="87">
        <v>8833020.9494684823</v>
      </c>
      <c r="P38" s="3" t="s">
        <v>644</v>
      </c>
      <c r="Q38" s="37">
        <v>1.4035173397770287E-2</v>
      </c>
      <c r="R38" s="37">
        <v>-28.586009611298447</v>
      </c>
      <c r="S38" s="37">
        <v>65.107296922315015</v>
      </c>
      <c r="T38" s="37">
        <v>1.5051459240103603E-2</v>
      </c>
      <c r="U38" s="19">
        <v>1.3294985478790608E-2</v>
      </c>
      <c r="W38" s="87">
        <v>8833020.9494684823</v>
      </c>
      <c r="X38" s="3">
        <v>1</v>
      </c>
      <c r="Y38" s="78">
        <v>9219293.4893376548</v>
      </c>
      <c r="Z38" s="80">
        <v>8837819.2547814194</v>
      </c>
      <c r="AB38" s="3" t="s">
        <v>645</v>
      </c>
    </row>
    <row r="39" spans="2:28" ht="12.75" customHeight="1" thickBot="1">
      <c r="B39" s="91" t="s">
        <v>412</v>
      </c>
      <c r="C39" s="94">
        <v>5.22</v>
      </c>
      <c r="D39" s="94">
        <v>2.5360061806442213</v>
      </c>
      <c r="E39" s="94">
        <v>-1.87</v>
      </c>
      <c r="F39" s="94">
        <v>3.3499999999999996</v>
      </c>
      <c r="J39" s="34">
        <v>2</v>
      </c>
      <c r="K39" s="35">
        <v>46076</v>
      </c>
      <c r="L39" s="35">
        <v>46441</v>
      </c>
      <c r="M39" s="35">
        <v>46441</v>
      </c>
      <c r="N39" s="69">
        <v>4.8876213357642548</v>
      </c>
      <c r="O39" s="87">
        <v>8076218.6459764056</v>
      </c>
      <c r="P39" s="3" t="s">
        <v>646</v>
      </c>
      <c r="Q39" s="37">
        <v>5.7028464435468822E-2</v>
      </c>
      <c r="R39" s="37">
        <v>-67.806516106932264</v>
      </c>
      <c r="S39" s="37">
        <v>185.51674269163794</v>
      </c>
      <c r="T39" s="37">
        <v>6.0060734128232256E-2</v>
      </c>
      <c r="U39" s="19">
        <v>4.8506362085746074E-2</v>
      </c>
      <c r="W39" s="87">
        <v>8076218.6459764056</v>
      </c>
      <c r="X39" s="3">
        <v>2</v>
      </c>
      <c r="Y39" s="78">
        <v>8456345.020225184</v>
      </c>
      <c r="Z39" s="80">
        <v>8083570.3908585068</v>
      </c>
      <c r="AB39" s="3" t="s">
        <v>647</v>
      </c>
    </row>
    <row r="40" spans="2:28" ht="12.75" customHeight="1" thickBot="1">
      <c r="B40" s="91" t="s">
        <v>413</v>
      </c>
      <c r="C40" s="94">
        <v>5.16</v>
      </c>
      <c r="D40" s="94">
        <v>2.5578898341003327</v>
      </c>
      <c r="E40" s="94">
        <v>-1.9</v>
      </c>
      <c r="F40" s="94">
        <v>3.2600000000000002</v>
      </c>
      <c r="J40" s="34">
        <v>3</v>
      </c>
      <c r="K40" s="35">
        <v>46441</v>
      </c>
      <c r="L40" s="35">
        <v>46806</v>
      </c>
      <c r="M40" s="35">
        <v>46806</v>
      </c>
      <c r="N40" s="69">
        <v>4.8876213357642548</v>
      </c>
      <c r="O40" s="87">
        <v>7337172.3093045875</v>
      </c>
      <c r="P40" s="3" t="s">
        <v>648</v>
      </c>
      <c r="Q40" s="37">
        <v>0.10821926947959365</v>
      </c>
      <c r="R40" s="37">
        <v>-96.199892487996848</v>
      </c>
      <c r="S40" s="37">
        <v>296.65692075088941</v>
      </c>
      <c r="T40" s="37">
        <v>0.11319040896973147</v>
      </c>
      <c r="U40" s="19">
        <v>8.3049753437157522E-2</v>
      </c>
      <c r="W40" s="87">
        <v>7337172.3093045875</v>
      </c>
      <c r="X40" s="3">
        <v>3</v>
      </c>
      <c r="Y40" s="78">
        <v>7710795.7614918305</v>
      </c>
      <c r="Z40" s="80">
        <v>7346544.8663243847</v>
      </c>
      <c r="AB40" s="3" t="s">
        <v>649</v>
      </c>
    </row>
    <row r="41" spans="2:28" ht="12.75" customHeight="1" thickBot="1">
      <c r="B41" s="91" t="s">
        <v>414</v>
      </c>
      <c r="C41" s="94">
        <v>5.18</v>
      </c>
      <c r="D41" s="94">
        <v>2.5736451134945928</v>
      </c>
      <c r="E41" s="94">
        <v>-1.77</v>
      </c>
      <c r="F41" s="94">
        <v>3.4099999999999997</v>
      </c>
      <c r="J41" s="34">
        <v>4</v>
      </c>
      <c r="K41" s="35">
        <v>46806</v>
      </c>
      <c r="L41" s="35">
        <v>47172</v>
      </c>
      <c r="M41" s="35">
        <v>47172</v>
      </c>
      <c r="N41" s="69">
        <v>4.8876213357642548</v>
      </c>
      <c r="O41" s="87">
        <v>6615514.9885545094</v>
      </c>
      <c r="P41" s="3" t="s">
        <v>650</v>
      </c>
      <c r="Q41" s="37">
        <v>0.15852073213735746</v>
      </c>
      <c r="R41" s="37">
        <v>-116.11768821088336</v>
      </c>
      <c r="S41" s="37">
        <v>393.17941468978449</v>
      </c>
      <c r="T41" s="37">
        <v>0.16522314354904433</v>
      </c>
      <c r="U41" s="19">
        <v>0.1093036182604796</v>
      </c>
      <c r="W41" s="87">
        <v>6615514.9885545094</v>
      </c>
      <c r="X41" s="3">
        <v>4</v>
      </c>
      <c r="Y41" s="78">
        <v>6982293.9711569389</v>
      </c>
      <c r="Z41" s="80">
        <v>6626394.4140911708</v>
      </c>
      <c r="AB41" s="3" t="s">
        <v>651</v>
      </c>
    </row>
    <row r="42" spans="2:28" ht="12.75" customHeight="1" thickBot="1">
      <c r="B42" s="91" t="s">
        <v>415</v>
      </c>
      <c r="C42" s="94">
        <v>5.15</v>
      </c>
      <c r="D42" s="94">
        <v>2.5807902808146523</v>
      </c>
      <c r="E42" s="94">
        <v>-1.89</v>
      </c>
      <c r="F42" s="94">
        <v>3.2600000000000007</v>
      </c>
      <c r="J42" s="34">
        <v>5</v>
      </c>
      <c r="K42" s="35">
        <v>47172</v>
      </c>
      <c r="L42" s="35">
        <v>47539</v>
      </c>
      <c r="M42" s="35">
        <v>47539</v>
      </c>
      <c r="N42" s="69">
        <v>4.8876213357642548</v>
      </c>
      <c r="O42" s="87">
        <v>5910887.1252769642</v>
      </c>
      <c r="P42" s="3" t="s">
        <v>652</v>
      </c>
      <c r="Q42" s="37">
        <v>0.20659318918157585</v>
      </c>
      <c r="R42" s="37">
        <v>-130.88075959482302</v>
      </c>
      <c r="S42" s="37">
        <v>478.84606018859728</v>
      </c>
      <c r="T42" s="37">
        <v>0.21486130278939958</v>
      </c>
      <c r="U42" s="19">
        <v>0.12700209083780975</v>
      </c>
      <c r="W42" s="87">
        <v>5910887.1252769642</v>
      </c>
      <c r="X42" s="3">
        <v>5</v>
      </c>
      <c r="Y42" s="78">
        <v>6270494.8570254026</v>
      </c>
      <c r="Z42" s="80">
        <v>5922777.6485235412</v>
      </c>
      <c r="AB42" s="3" t="s">
        <v>653</v>
      </c>
    </row>
    <row r="43" spans="2:28" ht="12.75" customHeight="1" thickBot="1">
      <c r="B43" s="91" t="s">
        <v>416</v>
      </c>
      <c r="C43" s="94">
        <v>5.2</v>
      </c>
      <c r="D43" s="94">
        <v>2.5750924366539274</v>
      </c>
      <c r="E43" s="94">
        <v>-1.87</v>
      </c>
      <c r="F43" s="94">
        <v>3.33</v>
      </c>
      <c r="J43" s="34">
        <v>6</v>
      </c>
      <c r="K43" s="35">
        <v>47539</v>
      </c>
      <c r="L43" s="35">
        <v>47904</v>
      </c>
      <c r="M43" s="35">
        <v>47904</v>
      </c>
      <c r="N43" s="69">
        <v>4.8876213357642548</v>
      </c>
      <c r="O43" s="87">
        <v>5222936.4053817661</v>
      </c>
      <c r="P43" s="3" t="s">
        <v>654</v>
      </c>
      <c r="Q43" s="37">
        <v>0.25559150554107196</v>
      </c>
      <c r="R43" s="37">
        <v>-140.86003073319608</v>
      </c>
      <c r="S43" s="37">
        <v>550.94321076512483</v>
      </c>
      <c r="T43" s="37">
        <v>0.2652017694490425</v>
      </c>
      <c r="U43" s="19">
        <v>0.13851319764270659</v>
      </c>
      <c r="W43" s="87">
        <v>5222936.4053817661</v>
      </c>
      <c r="X43" s="3">
        <v>6</v>
      </c>
      <c r="Y43" s="78">
        <v>5575060.4400216797</v>
      </c>
      <c r="Z43" s="80">
        <v>5235359.9301151782</v>
      </c>
      <c r="AB43" s="3" t="s">
        <v>655</v>
      </c>
    </row>
    <row r="44" spans="2:28" ht="12.75" customHeight="1" thickBot="1">
      <c r="B44" s="91" t="s">
        <v>417</v>
      </c>
      <c r="C44" s="94">
        <v>5.28</v>
      </c>
      <c r="D44" s="94">
        <v>2.5506648227218087</v>
      </c>
      <c r="E44" s="94">
        <v>-1.85</v>
      </c>
      <c r="F44" s="94">
        <v>3.43</v>
      </c>
      <c r="J44" s="34">
        <v>7</v>
      </c>
      <c r="K44" s="35">
        <v>47903</v>
      </c>
      <c r="L44" s="35">
        <v>48268</v>
      </c>
      <c r="M44" s="35">
        <v>48268</v>
      </c>
      <c r="N44" s="69">
        <v>4.8876213357642548</v>
      </c>
      <c r="O44" s="87">
        <v>4551317.6140103638</v>
      </c>
      <c r="P44" s="3" t="s">
        <v>656</v>
      </c>
      <c r="Q44" s="37">
        <v>0.30451876419546159</v>
      </c>
      <c r="R44" s="37">
        <v>-148.78173150916774</v>
      </c>
      <c r="S44" s="37">
        <v>616.99369553531267</v>
      </c>
      <c r="T44" s="37">
        <v>0.31537082079107615</v>
      </c>
      <c r="U44" s="19">
        <v>0.14353527716113307</v>
      </c>
      <c r="W44" s="87">
        <v>4551317.6140103638</v>
      </c>
      <c r="X44" s="3">
        <v>7</v>
      </c>
      <c r="Y44" s="78">
        <v>4895659.4202086776</v>
      </c>
      <c r="Z44" s="80">
        <v>4563813.2328236885</v>
      </c>
      <c r="AB44" s="3" t="s">
        <v>657</v>
      </c>
    </row>
    <row r="45" spans="2:28" ht="12.75" customHeight="1">
      <c r="B45" s="99" t="s">
        <v>441</v>
      </c>
      <c r="C45" s="94">
        <v>5.5</v>
      </c>
      <c r="D45" s="94">
        <v>2.7246634508562106</v>
      </c>
      <c r="E45" s="94">
        <v>-1.03</v>
      </c>
      <c r="F45" s="94">
        <v>4.47</v>
      </c>
      <c r="J45" s="34">
        <v>8</v>
      </c>
      <c r="K45" s="35">
        <v>48267</v>
      </c>
      <c r="L45" s="35">
        <v>48633</v>
      </c>
      <c r="M45" s="35">
        <v>48633</v>
      </c>
      <c r="N45" s="69">
        <v>4.8876213357642548</v>
      </c>
      <c r="O45" s="87">
        <v>3895692.4933120897</v>
      </c>
      <c r="P45" s="3" t="s">
        <v>658</v>
      </c>
      <c r="Q45" s="37">
        <v>0.35251709093272066</v>
      </c>
      <c r="R45" s="37">
        <v>-154.95540492697293</v>
      </c>
      <c r="S45" s="37">
        <v>674.60739370009298</v>
      </c>
      <c r="T45" s="37">
        <v>0.36445968475745277</v>
      </c>
      <c r="U45" s="19">
        <v>0.14198228580244995</v>
      </c>
      <c r="W45" s="87">
        <v>3895692.4933120897</v>
      </c>
      <c r="X45" s="3">
        <v>8</v>
      </c>
      <c r="Y45" s="78">
        <v>4231967.0454386985</v>
      </c>
      <c r="Z45" s="80">
        <v>3907816.0140117519</v>
      </c>
      <c r="AB45" s="3" t="s">
        <v>659</v>
      </c>
    </row>
    <row r="46" spans="2:28" ht="12.75" customHeight="1">
      <c r="B46" s="62" t="s">
        <v>584</v>
      </c>
      <c r="C46" s="61">
        <v>4.87</v>
      </c>
      <c r="D46" s="95">
        <v>2.67</v>
      </c>
      <c r="E46" s="96">
        <v>-1.7512347271203326</v>
      </c>
      <c r="F46" s="3">
        <v>3.1187652728796675</v>
      </c>
      <c r="J46" s="34">
        <v>9</v>
      </c>
      <c r="K46" s="35">
        <v>48633</v>
      </c>
      <c r="L46" s="35">
        <v>48998</v>
      </c>
      <c r="M46" s="35">
        <v>48998</v>
      </c>
      <c r="N46" s="69">
        <v>4.8876213357642548</v>
      </c>
      <c r="O46" s="87">
        <v>3255729.6030659564</v>
      </c>
      <c r="P46" s="3" t="s">
        <v>660</v>
      </c>
      <c r="Q46" s="37">
        <v>0.39751849482602436</v>
      </c>
      <c r="R46" s="37">
        <v>-155.27494737308371</v>
      </c>
      <c r="S46" s="37">
        <v>722.52514196382629</v>
      </c>
      <c r="T46" s="37">
        <v>0.41041624819157008</v>
      </c>
      <c r="U46" s="19">
        <v>0.13362043288165595</v>
      </c>
      <c r="W46" s="87">
        <v>3255729.6030659564</v>
      </c>
      <c r="X46" s="3">
        <v>9</v>
      </c>
      <c r="Y46" s="78">
        <v>3583664.9825848048</v>
      </c>
      <c r="Z46" s="80">
        <v>3267053.0869433475</v>
      </c>
      <c r="AB46" s="3" t="s">
        <v>661</v>
      </c>
    </row>
    <row r="47" spans="2:28" ht="12.75" customHeight="1">
      <c r="B47" s="60" t="s">
        <v>420</v>
      </c>
      <c r="C47" s="61" t="s">
        <v>419</v>
      </c>
      <c r="D47" s="95">
        <v>6.2910000000000008E-2</v>
      </c>
      <c r="E47" s="96">
        <v>16.760257895616494</v>
      </c>
      <c r="F47" s="3" t="s">
        <v>583</v>
      </c>
      <c r="J47" s="34">
        <v>10</v>
      </c>
      <c r="K47" s="35">
        <v>48998</v>
      </c>
      <c r="L47" s="35">
        <v>49363</v>
      </c>
      <c r="M47" s="35">
        <v>49363</v>
      </c>
      <c r="N47" s="69">
        <v>4.8876213357642548</v>
      </c>
      <c r="O47" s="87">
        <v>2631104.1840911014</v>
      </c>
      <c r="P47" s="3" t="s">
        <v>662</v>
      </c>
      <c r="Q47" s="37">
        <v>0.44221962707044299</v>
      </c>
      <c r="R47" s="37">
        <v>-156.95418369841391</v>
      </c>
      <c r="S47" s="37">
        <v>764.46600843012527</v>
      </c>
      <c r="T47" s="37">
        <v>0.45593940540206135</v>
      </c>
      <c r="U47" s="19">
        <v>0.11996240772453724</v>
      </c>
      <c r="W47" s="87">
        <v>2631104.1840911014</v>
      </c>
      <c r="X47" s="3">
        <v>10</v>
      </c>
      <c r="Y47" s="78">
        <v>2950441.1913018902</v>
      </c>
      <c r="Z47" s="80">
        <v>2641215.4957848326</v>
      </c>
      <c r="AB47" s="3" t="s">
        <v>663</v>
      </c>
    </row>
    <row r="48" spans="2:28" ht="12.75" customHeight="1">
      <c r="B48" s="60" t="s">
        <v>421</v>
      </c>
      <c r="C48" s="61" t="s">
        <v>422</v>
      </c>
      <c r="D48" s="95">
        <v>5.8461497407586299E-2</v>
      </c>
      <c r="E48" s="96">
        <v>3.3574072622737963</v>
      </c>
      <c r="J48" s="34">
        <v>11</v>
      </c>
      <c r="K48" s="35">
        <v>49363</v>
      </c>
      <c r="L48" s="35">
        <v>49730</v>
      </c>
      <c r="M48" s="35">
        <v>49730</v>
      </c>
      <c r="N48" s="69">
        <v>4.8876213357642548</v>
      </c>
      <c r="O48" s="87">
        <v>2021498.0243900861</v>
      </c>
      <c r="P48" s="3" t="s">
        <v>664</v>
      </c>
      <c r="Q48" s="37">
        <v>0.48446485484660839</v>
      </c>
      <c r="R48" s="37">
        <v>-154.97542467540916</v>
      </c>
      <c r="S48" s="37">
        <v>800.28952603003972</v>
      </c>
      <c r="T48" s="37">
        <v>0.49892089112045512</v>
      </c>
      <c r="U48" s="19">
        <v>0.10085675957269412</v>
      </c>
      <c r="W48" s="87">
        <v>2021498.0243900861</v>
      </c>
      <c r="X48" s="3">
        <v>11</v>
      </c>
      <c r="Y48" s="78">
        <v>2331989.8002677751</v>
      </c>
      <c r="Z48" s="80">
        <v>2030000.3930617035</v>
      </c>
      <c r="AB48" s="3" t="s">
        <v>665</v>
      </c>
    </row>
    <row r="49" spans="1:28" ht="12.75" customHeight="1">
      <c r="A49" s="59"/>
      <c r="B49" s="60" t="s">
        <v>421</v>
      </c>
      <c r="C49" s="61" t="s">
        <v>423</v>
      </c>
      <c r="D49" s="95">
        <v>5.8235614208044878E-2</v>
      </c>
      <c r="E49" s="96">
        <v>7.8793375487157125</v>
      </c>
      <c r="J49" s="34">
        <v>12</v>
      </c>
      <c r="K49" s="35">
        <v>49730</v>
      </c>
      <c r="L49" s="35">
        <v>50096</v>
      </c>
      <c r="M49" s="35">
        <v>50096</v>
      </c>
      <c r="N49" s="69">
        <v>4.8876213357642548</v>
      </c>
      <c r="O49" s="87">
        <v>1426599.3279703935</v>
      </c>
      <c r="P49" s="3" t="s">
        <v>666</v>
      </c>
      <c r="Q49" s="37">
        <v>0.5016486295904885</v>
      </c>
      <c r="R49" s="37">
        <v>-146.7030714405806</v>
      </c>
      <c r="S49" s="37">
        <v>812.04246163328548</v>
      </c>
      <c r="T49" s="37">
        <v>0.51642244810874838</v>
      </c>
      <c r="U49" s="19">
        <v>7.3672791742076582E-2</v>
      </c>
      <c r="W49" s="87">
        <v>1426599.3279703935</v>
      </c>
      <c r="X49" s="3">
        <v>12</v>
      </c>
      <c r="Y49" s="78">
        <v>1728010.985855632</v>
      </c>
      <c r="Z49" s="80">
        <v>1433110.9195227996</v>
      </c>
      <c r="AB49" s="3" t="s">
        <v>667</v>
      </c>
    </row>
    <row r="50" spans="1:28" ht="12.75" customHeight="1">
      <c r="B50" s="60" t="s">
        <v>421</v>
      </c>
      <c r="C50" s="61" t="s">
        <v>419</v>
      </c>
      <c r="D50" s="95">
        <v>5.8138926595133728E-2</v>
      </c>
      <c r="E50" s="96">
        <v>12.215042831583357</v>
      </c>
      <c r="J50" s="34">
        <v>13</v>
      </c>
      <c r="K50" s="35">
        <v>50094</v>
      </c>
      <c r="L50" s="35">
        <v>50459</v>
      </c>
      <c r="M50" s="35">
        <v>50459</v>
      </c>
      <c r="N50" s="69">
        <v>4.8876213357642548</v>
      </c>
      <c r="O50" s="87">
        <v>846102.58629056392</v>
      </c>
      <c r="P50" s="3" t="s">
        <v>668</v>
      </c>
      <c r="Q50" s="37">
        <v>0.53369855775886832</v>
      </c>
      <c r="R50" s="37">
        <v>-139.42760740850426</v>
      </c>
      <c r="S50" s="37">
        <v>830.20654305053995</v>
      </c>
      <c r="T50" s="37">
        <v>0.54890841254579403</v>
      </c>
      <c r="U50" s="19">
        <v>4.6443282749164407E-2</v>
      </c>
      <c r="W50" s="87">
        <v>846102.58629056392</v>
      </c>
      <c r="X50" s="3">
        <v>13</v>
      </c>
      <c r="Y50" s="78">
        <v>1138210.8531899669</v>
      </c>
      <c r="Z50" s="80">
        <v>850256.08636465832</v>
      </c>
      <c r="AB50" s="3" t="s">
        <v>669</v>
      </c>
    </row>
    <row r="51" spans="1:28" ht="12.75" customHeight="1">
      <c r="B51" s="62" t="s">
        <v>421</v>
      </c>
      <c r="C51" s="61" t="s">
        <v>424</v>
      </c>
      <c r="D51" s="95">
        <v>5.8076635950826655E-2</v>
      </c>
      <c r="E51" s="96">
        <v>15.952500765160204</v>
      </c>
      <c r="J51" s="34">
        <v>14</v>
      </c>
      <c r="K51" s="35">
        <v>50459</v>
      </c>
      <c r="L51" s="35">
        <v>50824</v>
      </c>
      <c r="M51" s="35">
        <v>50824</v>
      </c>
      <c r="N51" s="69">
        <v>4.8876213357642548</v>
      </c>
      <c r="O51" s="87">
        <v>279708.45227845479</v>
      </c>
      <c r="P51" s="3" t="s">
        <v>670</v>
      </c>
      <c r="Q51" s="37">
        <v>0.56599488166474043</v>
      </c>
      <c r="R51" s="37">
        <v>-132.52773043574379</v>
      </c>
      <c r="S51" s="37">
        <v>846.12306213907414</v>
      </c>
      <c r="T51" s="37">
        <v>0.58159206560316445</v>
      </c>
      <c r="U51" s="19">
        <v>1.6267621652729068E-2</v>
      </c>
      <c r="W51" s="87">
        <v>279708.45227845479</v>
      </c>
      <c r="X51" s="3">
        <v>14</v>
      </c>
      <c r="Y51" s="78">
        <v>562301.31953934976</v>
      </c>
      <c r="Z51" s="81">
        <v>281150.65976967488</v>
      </c>
      <c r="AB51" s="3" t="s">
        <v>671</v>
      </c>
    </row>
    <row r="52" spans="1:28" ht="12.75" customHeight="1">
      <c r="B52" s="63" t="s">
        <v>425</v>
      </c>
      <c r="C52" s="64" t="s">
        <v>424</v>
      </c>
      <c r="D52" s="97">
        <v>5.7497089295650748E-2</v>
      </c>
      <c r="E52" s="98">
        <v>12.156069401310152</v>
      </c>
      <c r="J52" s="34">
        <v>15</v>
      </c>
      <c r="M52" s="35"/>
      <c r="N52" s="70"/>
      <c r="O52" s="88"/>
      <c r="Q52" s="37"/>
      <c r="R52" s="26"/>
      <c r="S52" s="26"/>
      <c r="T52" s="37"/>
      <c r="U52" s="19"/>
      <c r="W52" s="88"/>
    </row>
    <row r="53" spans="1:28" ht="12.75" customHeight="1">
      <c r="B53" s="3" t="s">
        <v>426</v>
      </c>
      <c r="C53" s="3" t="s">
        <v>424</v>
      </c>
      <c r="D53" s="3">
        <v>5.7295490052888337E-2</v>
      </c>
      <c r="E53" s="3">
        <v>1.3965325555276131</v>
      </c>
      <c r="I53" s="27">
        <v>10</v>
      </c>
      <c r="J53" s="34">
        <v>1</v>
      </c>
      <c r="K53" s="35">
        <v>45712</v>
      </c>
      <c r="L53" s="35">
        <v>46077</v>
      </c>
      <c r="M53" s="35">
        <v>46077</v>
      </c>
      <c r="N53" s="69">
        <v>4.6951791308097643</v>
      </c>
      <c r="O53" s="87">
        <v>8333181.7934244312</v>
      </c>
      <c r="P53" s="3" t="s">
        <v>672</v>
      </c>
      <c r="Q53" s="37">
        <v>1.813242472328655E-2</v>
      </c>
      <c r="R53" s="37">
        <v>-36.609329000830492</v>
      </c>
      <c r="S53" s="37">
        <v>79.782123385937155</v>
      </c>
      <c r="T53" s="37">
        <v>1.936197390099699E-2</v>
      </c>
      <c r="U53" s="19">
        <v>1.6134684839654714E-2</v>
      </c>
      <c r="W53" s="87">
        <v>8333181.7934244312</v>
      </c>
      <c r="X53" s="3">
        <v>1</v>
      </c>
      <c r="Y53" s="78">
        <v>8882591.7002257667</v>
      </c>
      <c r="Z53" s="80">
        <v>8337674.5892592426</v>
      </c>
      <c r="AB53" s="3" t="s">
        <v>673</v>
      </c>
    </row>
    <row r="54" spans="1:28" ht="12.75" customHeight="1">
      <c r="E54" s="93"/>
      <c r="J54" s="34">
        <v>2</v>
      </c>
      <c r="K54" s="35">
        <v>46076</v>
      </c>
      <c r="L54" s="35">
        <v>46441</v>
      </c>
      <c r="M54" s="35">
        <v>46441</v>
      </c>
      <c r="N54" s="69">
        <v>4.6951791308097643</v>
      </c>
      <c r="O54" s="87">
        <v>7254771.5500558261</v>
      </c>
      <c r="P54" s="3" t="s">
        <v>674</v>
      </c>
      <c r="Q54" s="37">
        <v>6.7325151117328397E-2</v>
      </c>
      <c r="R54" s="37">
        <v>-79.292576955137704</v>
      </c>
      <c r="S54" s="37">
        <v>208.76175830660046</v>
      </c>
      <c r="T54" s="37">
        <v>7.0707460513909026E-2</v>
      </c>
      <c r="U54" s="19">
        <v>5.129664729130029E-2</v>
      </c>
      <c r="W54" s="87">
        <v>7254771.5500558261</v>
      </c>
      <c r="X54" s="3">
        <v>2</v>
      </c>
      <c r="Y54" s="78">
        <v>7792757.4782927195</v>
      </c>
      <c r="Z54" s="80">
        <v>7261339.4326915732</v>
      </c>
      <c r="AB54" s="3" t="s">
        <v>675</v>
      </c>
    </row>
    <row r="55" spans="1:28" ht="12.75" customHeight="1">
      <c r="B55" s="3" t="s">
        <v>420</v>
      </c>
      <c r="C55" s="3" t="s">
        <v>419</v>
      </c>
      <c r="E55" s="93"/>
      <c r="J55" s="34">
        <v>3</v>
      </c>
      <c r="K55" s="35">
        <v>46441</v>
      </c>
      <c r="L55" s="35">
        <v>46806</v>
      </c>
      <c r="M55" s="35">
        <v>46806</v>
      </c>
      <c r="N55" s="69">
        <v>4.6951791308097643</v>
      </c>
      <c r="O55" s="87">
        <v>6203833.9825847633</v>
      </c>
      <c r="P55" s="3" t="s">
        <v>676</v>
      </c>
      <c r="Q55" s="37">
        <v>0.12308222405596812</v>
      </c>
      <c r="R55" s="37">
        <v>-108.54316993320627</v>
      </c>
      <c r="S55" s="37">
        <v>323.12018259810066</v>
      </c>
      <c r="T55" s="37">
        <v>0.12845919600859806</v>
      </c>
      <c r="U55" s="19">
        <v>7.9693952557365763E-2</v>
      </c>
      <c r="W55" s="87">
        <v>6203833.9825847633</v>
      </c>
      <c r="X55" s="3">
        <v>3</v>
      </c>
      <c r="Y55" s="78">
        <v>6729921.3870904269</v>
      </c>
      <c r="Z55" s="80">
        <v>6211720.1941713402</v>
      </c>
      <c r="AB55" s="3" t="s">
        <v>677</v>
      </c>
    </row>
    <row r="56" spans="1:28" ht="12.75" customHeight="1">
      <c r="B56" s="3" t="s">
        <v>421</v>
      </c>
      <c r="C56" s="3" t="s">
        <v>422</v>
      </c>
      <c r="E56" s="93"/>
      <c r="J56" s="34">
        <v>4</v>
      </c>
      <c r="K56" s="35">
        <v>46806</v>
      </c>
      <c r="L56" s="35">
        <v>47172</v>
      </c>
      <c r="M56" s="35">
        <v>47172</v>
      </c>
      <c r="N56" s="69">
        <v>4.6951791308097643</v>
      </c>
      <c r="O56" s="87">
        <v>5179781.4001389015</v>
      </c>
      <c r="P56" s="3" t="s">
        <v>678</v>
      </c>
      <c r="Q56" s="37">
        <v>0.17780966559927111</v>
      </c>
      <c r="R56" s="37">
        <v>-129.06379778621741</v>
      </c>
      <c r="S56" s="37">
        <v>422.10898607657543</v>
      </c>
      <c r="T56" s="37">
        <v>0.18496120734294044</v>
      </c>
      <c r="U56" s="19">
        <v>9.5805862154219781E-2</v>
      </c>
      <c r="W56" s="87">
        <v>5179781.4001389015</v>
      </c>
      <c r="X56" s="3">
        <v>4</v>
      </c>
      <c r="Y56" s="78">
        <v>5693519.0012522535</v>
      </c>
      <c r="Z56" s="80">
        <v>5188258.0954184625</v>
      </c>
      <c r="AB56" s="3" t="s">
        <v>679</v>
      </c>
    </row>
    <row r="57" spans="1:28" ht="12.75" customHeight="1">
      <c r="B57" s="3" t="s">
        <v>421</v>
      </c>
      <c r="C57" s="3" t="s">
        <v>423</v>
      </c>
      <c r="E57" s="93"/>
      <c r="J57" s="34">
        <v>5</v>
      </c>
      <c r="K57" s="35">
        <v>47172</v>
      </c>
      <c r="L57" s="35">
        <v>47539</v>
      </c>
      <c r="M57" s="35">
        <v>47539</v>
      </c>
      <c r="N57" s="69">
        <v>4.6951791308097643</v>
      </c>
      <c r="O57" s="87">
        <v>4182038.1132884515</v>
      </c>
      <c r="P57" s="3" t="s">
        <v>680</v>
      </c>
      <c r="Q57" s="37">
        <v>0.23022270201380182</v>
      </c>
      <c r="R57" s="37">
        <v>-144.22034117828662</v>
      </c>
      <c r="S57" s="37">
        <v>509.65195098850154</v>
      </c>
      <c r="T57" s="37">
        <v>0.238973537621789</v>
      </c>
      <c r="U57" s="19">
        <v>9.9939644240169309E-2</v>
      </c>
      <c r="W57" s="87">
        <v>4182038.1132884515</v>
      </c>
      <c r="X57" s="3">
        <v>5</v>
      </c>
      <c r="Y57" s="78">
        <v>4682997.1895846725</v>
      </c>
      <c r="Z57" s="80">
        <v>4190405.5407792823</v>
      </c>
      <c r="AB57" s="3" t="s">
        <v>681</v>
      </c>
    </row>
    <row r="58" spans="1:28" ht="12.75" customHeight="1">
      <c r="B58" s="3" t="s">
        <v>421</v>
      </c>
      <c r="C58" s="3" t="s">
        <v>419</v>
      </c>
      <c r="E58" s="93"/>
      <c r="J58" s="34">
        <v>6</v>
      </c>
      <c r="K58" s="35">
        <v>47539</v>
      </c>
      <c r="L58" s="35">
        <v>47904</v>
      </c>
      <c r="M58" s="35">
        <v>47904</v>
      </c>
      <c r="N58" s="69">
        <v>4.6951791308097643</v>
      </c>
      <c r="O58" s="87">
        <v>3210040.1924137082</v>
      </c>
      <c r="P58" s="3" t="s">
        <v>682</v>
      </c>
      <c r="Q58" s="37">
        <v>0.28220292555776966</v>
      </c>
      <c r="R58" s="37">
        <v>-153.81457401299812</v>
      </c>
      <c r="S58" s="37">
        <v>581.56990229103769</v>
      </c>
      <c r="T58" s="37">
        <v>0.2922961778634604</v>
      </c>
      <c r="U58" s="19">
        <v>9.3828247903061407E-2</v>
      </c>
      <c r="W58" s="87">
        <v>3210040.1924137082</v>
      </c>
      <c r="X58" s="3">
        <v>6</v>
      </c>
      <c r="Y58" s="78">
        <v>3697813.8919738927</v>
      </c>
      <c r="Z58" s="80">
        <v>3217625.8963278662</v>
      </c>
      <c r="AB58" s="3" t="s">
        <v>683</v>
      </c>
    </row>
    <row r="59" spans="1:28" ht="12.75" customHeight="1">
      <c r="B59" s="3" t="s">
        <v>421</v>
      </c>
      <c r="C59" s="3" t="s">
        <v>424</v>
      </c>
      <c r="E59" s="93"/>
      <c r="J59" s="34">
        <v>7</v>
      </c>
      <c r="K59" s="35">
        <v>47903</v>
      </c>
      <c r="L59" s="35">
        <v>48268</v>
      </c>
      <c r="M59" s="35">
        <v>48268</v>
      </c>
      <c r="N59" s="69">
        <v>4.6951791308097643</v>
      </c>
      <c r="O59" s="87">
        <v>2263235.2309156116</v>
      </c>
      <c r="P59" s="3" t="s">
        <v>684</v>
      </c>
      <c r="Q59" s="37">
        <v>0.33394401690322001</v>
      </c>
      <c r="R59" s="37">
        <v>-161.32343539632058</v>
      </c>
      <c r="S59" s="37">
        <v>647.1626962220223</v>
      </c>
      <c r="T59" s="37">
        <v>0.34527403647369725</v>
      </c>
      <c r="U59" s="19">
        <v>7.8143636366771352E-2</v>
      </c>
      <c r="W59" s="87">
        <v>2263235.2309156116</v>
      </c>
      <c r="X59" s="3">
        <v>7</v>
      </c>
      <c r="Y59" s="78">
        <v>2737437.9006818398</v>
      </c>
      <c r="Z59" s="80">
        <v>2269393.2733135261</v>
      </c>
      <c r="AB59" s="3" t="s">
        <v>685</v>
      </c>
    </row>
    <row r="60" spans="1:28" ht="12.75" customHeight="1">
      <c r="B60" s="3" t="s">
        <v>425</v>
      </c>
      <c r="C60" s="3" t="s">
        <v>424</v>
      </c>
      <c r="E60" s="93"/>
      <c r="J60" s="34">
        <v>8</v>
      </c>
      <c r="K60" s="35">
        <v>48267</v>
      </c>
      <c r="L60" s="35">
        <v>48633</v>
      </c>
      <c r="M60" s="35">
        <v>48633</v>
      </c>
      <c r="N60" s="69">
        <v>4.6951791308097643</v>
      </c>
      <c r="O60" s="87">
        <v>1341082.1131724163</v>
      </c>
      <c r="P60" s="3" t="s">
        <v>686</v>
      </c>
      <c r="Q60" s="37">
        <v>0.38545329772342579</v>
      </c>
      <c r="R60" s="37">
        <v>-167.42910390793278</v>
      </c>
      <c r="S60" s="37">
        <v>704.78955949513045</v>
      </c>
      <c r="T60" s="37">
        <v>0.39787479787424906</v>
      </c>
      <c r="U60" s="19">
        <v>5.33582774711246E-2</v>
      </c>
      <c r="W60" s="87">
        <v>1341082.1131724163</v>
      </c>
      <c r="X60" s="3">
        <v>8</v>
      </c>
      <c r="Y60" s="78">
        <v>1801348.6459452121</v>
      </c>
      <c r="Z60" s="80">
        <v>1345192.3158691355</v>
      </c>
      <c r="AB60" s="3" t="s">
        <v>687</v>
      </c>
    </row>
    <row r="61" spans="1:28" ht="12.75" customHeight="1">
      <c r="B61" s="3" t="s">
        <v>426</v>
      </c>
      <c r="C61" s="3" t="s">
        <v>424</v>
      </c>
      <c r="J61" s="34">
        <v>9</v>
      </c>
      <c r="K61" s="35">
        <v>48633</v>
      </c>
      <c r="L61" s="35">
        <v>48998</v>
      </c>
      <c r="M61" s="35">
        <v>48998</v>
      </c>
      <c r="N61" s="69">
        <v>4.6951791308097643</v>
      </c>
      <c r="O61" s="87">
        <v>443050.78714748228</v>
      </c>
      <c r="P61" s="3" t="s">
        <v>688</v>
      </c>
      <c r="Q61" s="37">
        <v>0.43252495277680891</v>
      </c>
      <c r="R61" s="37">
        <v>-166.85157668702996</v>
      </c>
      <c r="S61" s="37">
        <v>751.50022862756373</v>
      </c>
      <c r="T61" s="37">
        <v>0.44588644158248991</v>
      </c>
      <c r="U61" s="19">
        <v>1.9755033892151202E-2</v>
      </c>
      <c r="W61" s="87">
        <v>443050.78714748228</v>
      </c>
      <c r="X61" s="3">
        <v>9</v>
      </c>
      <c r="Y61" s="78">
        <v>889035.98579305888</v>
      </c>
      <c r="Z61" s="81">
        <v>444517.99289652944</v>
      </c>
      <c r="AB61" s="3" t="s">
        <v>689</v>
      </c>
    </row>
    <row r="62" spans="1:28" ht="12.75" customHeight="1">
      <c r="J62" s="34">
        <v>10</v>
      </c>
      <c r="M62" s="35"/>
      <c r="O62" s="4"/>
      <c r="Q62" s="37"/>
    </row>
    <row r="63" spans="1:28" ht="45" customHeight="1">
      <c r="B63" s="47">
        <v>1055</v>
      </c>
      <c r="C63" s="29" t="s">
        <v>285</v>
      </c>
      <c r="D63" s="29" t="s">
        <v>287</v>
      </c>
      <c r="E63" s="29" t="s">
        <v>286</v>
      </c>
      <c r="F63" s="29" t="s">
        <v>288</v>
      </c>
      <c r="G63" s="30" t="s">
        <v>293</v>
      </c>
      <c r="H63" s="68" t="s">
        <v>427</v>
      </c>
      <c r="M63" s="35"/>
      <c r="Q63" s="37"/>
    </row>
    <row r="64" spans="1:28" ht="12.75" customHeight="1">
      <c r="A64" s="3">
        <v>2.7929020000000002</v>
      </c>
      <c r="B64" s="31">
        <v>25</v>
      </c>
      <c r="C64" s="57">
        <v>5.1499999999999995</v>
      </c>
      <c r="D64" s="33">
        <v>0.41935782233755159</v>
      </c>
      <c r="E64" s="46">
        <v>300</v>
      </c>
      <c r="F64" s="67">
        <v>5.7497089295650747</v>
      </c>
      <c r="G64" s="43">
        <v>12.156069401310152</v>
      </c>
      <c r="H64" s="77">
        <v>2.7497089295650756</v>
      </c>
      <c r="J64" s="34">
        <v>1</v>
      </c>
      <c r="K64" s="35">
        <v>48998</v>
      </c>
      <c r="L64" s="35">
        <v>50824</v>
      </c>
      <c r="M64" s="35">
        <v>50824</v>
      </c>
      <c r="N64" s="41">
        <v>5.7497089295650747</v>
      </c>
      <c r="O64" s="84">
        <v>5084635.9554031417</v>
      </c>
      <c r="P64" s="3" t="s">
        <v>690</v>
      </c>
      <c r="Q64" s="37">
        <v>1.2532627650921695</v>
      </c>
      <c r="R64" s="37">
        <v>-477.43114522178439</v>
      </c>
      <c r="S64" s="37">
        <v>2828.3711869471836</v>
      </c>
      <c r="T64" s="37">
        <v>1.3050558773788954</v>
      </c>
      <c r="U64" s="19">
        <v>0.66357340379309249</v>
      </c>
      <c r="V64" s="26"/>
      <c r="W64" s="83">
        <v>6460817.2863594797</v>
      </c>
      <c r="X64" s="3">
        <v>10</v>
      </c>
      <c r="Y64" s="78">
        <v>6069006.6971399449</v>
      </c>
      <c r="Z64" s="79">
        <v>5084635.9554031417</v>
      </c>
      <c r="AB64" s="3" t="s">
        <v>691</v>
      </c>
    </row>
    <row r="65" spans="1:28" ht="12.75" customHeight="1">
      <c r="J65" s="34">
        <v>2</v>
      </c>
      <c r="K65" s="35">
        <v>50824</v>
      </c>
      <c r="L65" s="35">
        <v>52650</v>
      </c>
      <c r="M65" s="35">
        <v>52650</v>
      </c>
      <c r="N65" s="41">
        <v>5.7497089295650747</v>
      </c>
      <c r="O65" s="84">
        <v>3094346.8873271761</v>
      </c>
      <c r="P65" s="3" t="s">
        <v>692</v>
      </c>
      <c r="Q65" s="37">
        <v>1.3621030364939135</v>
      </c>
      <c r="R65" s="37">
        <v>-326.46192144264427</v>
      </c>
      <c r="S65" s="37">
        <v>2963.5481537748346</v>
      </c>
      <c r="T65" s="37">
        <v>1.4181093803549838</v>
      </c>
      <c r="U65" s="19">
        <v>0.43881223469909147</v>
      </c>
      <c r="V65" s="26"/>
      <c r="W65" s="83">
        <v>4313227.2580624521</v>
      </c>
      <c r="X65" s="3">
        <v>15</v>
      </c>
      <c r="Y65" s="78">
        <v>4100265.2136663389</v>
      </c>
      <c r="Z65" s="79">
        <v>3094346.8873271761</v>
      </c>
      <c r="AB65" s="3" t="s">
        <v>693</v>
      </c>
    </row>
    <row r="66" spans="1:28" ht="12.75" customHeight="1">
      <c r="B66" s="31" t="s">
        <v>338</v>
      </c>
      <c r="C66" s="71">
        <v>4.8600000000000003</v>
      </c>
      <c r="G66" s="73" t="s">
        <v>428</v>
      </c>
      <c r="H66" s="86">
        <v>8.0450847988417991</v>
      </c>
      <c r="J66" s="34">
        <v>3</v>
      </c>
      <c r="K66" s="35">
        <v>52650</v>
      </c>
      <c r="L66" s="35">
        <v>54477</v>
      </c>
      <c r="M66" s="35">
        <v>54477</v>
      </c>
      <c r="N66" s="41">
        <v>5.7497089295650747</v>
      </c>
      <c r="O66" s="84">
        <v>1044214.2804940066</v>
      </c>
      <c r="P66" s="3" t="s">
        <v>694</v>
      </c>
      <c r="Q66" s="37">
        <v>1.2520847211757486</v>
      </c>
      <c r="R66" s="37">
        <v>-199.92781767602136</v>
      </c>
      <c r="S66" s="37">
        <v>2826.6434349146489</v>
      </c>
      <c r="T66" s="37">
        <v>1.3066183116972814</v>
      </c>
      <c r="U66" s="19">
        <v>0.13643895002292702</v>
      </c>
      <c r="V66" s="26"/>
      <c r="W66" s="83">
        <v>1552663.6155688763</v>
      </c>
      <c r="X66" s="3">
        <v>20</v>
      </c>
      <c r="Y66" s="78">
        <v>2088428.5609880132</v>
      </c>
      <c r="Z66" s="79">
        <v>1044214.2804940066</v>
      </c>
      <c r="AB66" s="3" t="s">
        <v>695</v>
      </c>
    </row>
    <row r="67" spans="1:28" ht="12.75" customHeight="1">
      <c r="X67" s="3">
        <v>25</v>
      </c>
      <c r="Y67" s="78">
        <v>0</v>
      </c>
    </row>
    <row r="69" spans="1:28" ht="45" customHeight="1">
      <c r="B69" s="47">
        <v>2055</v>
      </c>
      <c r="C69" s="29" t="s">
        <v>285</v>
      </c>
      <c r="D69" s="29" t="s">
        <v>287</v>
      </c>
      <c r="E69" s="29" t="s">
        <v>286</v>
      </c>
      <c r="F69" s="29" t="s">
        <v>288</v>
      </c>
      <c r="G69" s="30" t="s">
        <v>293</v>
      </c>
      <c r="H69" s="68" t="s">
        <v>427</v>
      </c>
    </row>
    <row r="70" spans="1:28" ht="12.75" customHeight="1">
      <c r="A70" s="3">
        <v>2.7253150000000002</v>
      </c>
      <c r="B70" s="31">
        <v>25</v>
      </c>
      <c r="C70" s="57">
        <v>3.8</v>
      </c>
      <c r="D70" s="33">
        <v>0.31128168457330574</v>
      </c>
      <c r="E70" s="46">
        <v>300</v>
      </c>
      <c r="F70" s="67">
        <v>5.7295490052888338</v>
      </c>
      <c r="G70" s="43">
        <v>1.3965325555276131</v>
      </c>
      <c r="H70" s="77">
        <v>2.7295490052888338</v>
      </c>
      <c r="J70" s="34">
        <v>1</v>
      </c>
      <c r="K70" s="35">
        <v>52650</v>
      </c>
      <c r="L70" s="35">
        <v>54477</v>
      </c>
      <c r="M70" s="35">
        <v>54477</v>
      </c>
      <c r="N70" s="41">
        <v>5.7295490052888338</v>
      </c>
      <c r="O70" s="84">
        <v>1044214.2804940066</v>
      </c>
      <c r="P70" s="3" t="s">
        <v>696</v>
      </c>
      <c r="Q70" s="37">
        <v>1.2613284981162134</v>
      </c>
      <c r="R70" s="37">
        <v>-201.22336856541443</v>
      </c>
      <c r="S70" s="37">
        <v>2839.6747107589013</v>
      </c>
      <c r="T70" s="37">
        <v>1.3161097586457373</v>
      </c>
      <c r="U70" s="19">
        <v>0.13743006046753992</v>
      </c>
      <c r="V70" s="26"/>
      <c r="W70" s="83">
        <v>1402760.2480508685</v>
      </c>
      <c r="X70" s="3">
        <v>20</v>
      </c>
      <c r="Y70" s="78">
        <v>2088428.5609880132</v>
      </c>
      <c r="Z70" s="3">
        <v>1044214.2804940066</v>
      </c>
      <c r="AB70" s="3" t="s">
        <v>697</v>
      </c>
    </row>
    <row r="71" spans="1:28" ht="12.75" customHeight="1">
      <c r="X71" s="3">
        <v>25</v>
      </c>
      <c r="Y71" s="78">
        <v>0</v>
      </c>
    </row>
    <row r="72" spans="1:28" ht="12.75" customHeight="1">
      <c r="B72" s="31" t="s">
        <v>338</v>
      </c>
      <c r="C72" s="71">
        <v>9.33</v>
      </c>
      <c r="G72" s="73" t="s">
        <v>428</v>
      </c>
      <c r="H72" s="86">
        <v>11.722058492272266</v>
      </c>
    </row>
    <row r="74" spans="1:28" ht="12.75" customHeight="1">
      <c r="B74" s="3">
        <v>833</v>
      </c>
      <c r="C74" s="3" t="s">
        <v>285</v>
      </c>
      <c r="D74" s="3" t="s">
        <v>287</v>
      </c>
      <c r="E74" s="3" t="s">
        <v>286</v>
      </c>
      <c r="F74" s="3" t="s">
        <v>288</v>
      </c>
      <c r="G74" s="3" t="s">
        <v>293</v>
      </c>
      <c r="H74" s="74" t="s">
        <v>427</v>
      </c>
      <c r="J74" s="3">
        <v>36</v>
      </c>
      <c r="K74" s="3">
        <v>240</v>
      </c>
      <c r="L74" s="3">
        <v>2048</v>
      </c>
    </row>
    <row r="75" spans="1:28" ht="12.75" customHeight="1">
      <c r="A75" s="3" t="e">
        <v>#NUM!</v>
      </c>
      <c r="B75" s="3">
        <v>25</v>
      </c>
      <c r="C75" s="3">
        <v>3.1187652728796675</v>
      </c>
      <c r="D75" s="3">
        <v>0.25625442915468977</v>
      </c>
      <c r="E75" s="3">
        <v>300</v>
      </c>
      <c r="F75" s="3">
        <v>5.7295490052888329</v>
      </c>
      <c r="G75" s="3">
        <v>1.3965325555276131</v>
      </c>
      <c r="H75" s="74">
        <v>2.7295490052888338</v>
      </c>
      <c r="J75" s="3">
        <v>1</v>
      </c>
      <c r="K75" s="3">
        <v>48267</v>
      </c>
      <c r="L75" s="3">
        <v>49363</v>
      </c>
      <c r="M75" s="3">
        <v>49363</v>
      </c>
      <c r="N75" s="3">
        <v>5.7295490052888329</v>
      </c>
      <c r="O75" s="3">
        <v>0</v>
      </c>
      <c r="P75" s="3" t="s">
        <v>698</v>
      </c>
      <c r="Q75" s="3" t="s">
        <v>585</v>
      </c>
      <c r="R75" s="3" t="s">
        <v>585</v>
      </c>
      <c r="S75" s="3" t="s">
        <v>585</v>
      </c>
      <c r="T75" s="3" t="e">
        <v>#VALUE!</v>
      </c>
      <c r="U75" s="3" t="e">
        <v>#VALUE!</v>
      </c>
    </row>
    <row r="76" spans="1:28" ht="12.75" customHeight="1">
      <c r="J76" s="3">
        <v>2</v>
      </c>
      <c r="K76" s="3">
        <v>49363</v>
      </c>
      <c r="L76" s="3">
        <v>50459</v>
      </c>
      <c r="M76" s="3">
        <v>50459</v>
      </c>
      <c r="N76" s="3">
        <v>5.7295490052888329</v>
      </c>
      <c r="O76" s="3">
        <v>0</v>
      </c>
      <c r="P76" s="3" t="s">
        <v>699</v>
      </c>
      <c r="Q76" s="3" t="s">
        <v>585</v>
      </c>
      <c r="R76" s="3" t="s">
        <v>585</v>
      </c>
      <c r="S76" s="3" t="s">
        <v>585</v>
      </c>
      <c r="T76" s="3" t="e">
        <v>#VALUE!</v>
      </c>
      <c r="U76" s="3" t="e">
        <v>#VALUE!</v>
      </c>
    </row>
    <row r="77" spans="1:28" ht="12.75" customHeight="1">
      <c r="J77" s="3">
        <v>3</v>
      </c>
      <c r="K77" s="3">
        <v>50459</v>
      </c>
      <c r="L77" s="3">
        <v>51557</v>
      </c>
      <c r="M77" s="3">
        <v>51557</v>
      </c>
      <c r="N77" s="3">
        <v>5.7295490052888329</v>
      </c>
      <c r="O77" s="3">
        <v>0</v>
      </c>
      <c r="P77" s="3" t="s">
        <v>700</v>
      </c>
      <c r="Q77" s="3" t="s">
        <v>585</v>
      </c>
      <c r="R77" s="3" t="s">
        <v>585</v>
      </c>
      <c r="S77" s="3" t="s">
        <v>585</v>
      </c>
      <c r="T77" s="3" t="e">
        <v>#VALUE!</v>
      </c>
      <c r="U77" s="3" t="e">
        <v>#VALUE!</v>
      </c>
    </row>
    <row r="78" spans="1:28" ht="12.75" customHeight="1">
      <c r="J78" s="3">
        <v>4</v>
      </c>
      <c r="K78" s="3">
        <v>51557</v>
      </c>
      <c r="L78" s="3">
        <v>52650</v>
      </c>
      <c r="M78" s="3">
        <v>52650</v>
      </c>
      <c r="N78" s="3">
        <v>5.7295490052888329</v>
      </c>
      <c r="O78" s="3">
        <v>0</v>
      </c>
      <c r="P78" s="3" t="s">
        <v>701</v>
      </c>
      <c r="Q78" s="3" t="s">
        <v>585</v>
      </c>
      <c r="R78" s="3" t="s">
        <v>585</v>
      </c>
      <c r="S78" s="3" t="s">
        <v>585</v>
      </c>
      <c r="T78" s="3" t="e">
        <v>#VALUE!</v>
      </c>
      <c r="U78" s="3" t="e">
        <v>#VALUE!</v>
      </c>
    </row>
    <row r="79" spans="1:28" ht="12.75" customHeight="1">
      <c r="J79" s="3">
        <v>5</v>
      </c>
      <c r="K79" s="3">
        <v>52650</v>
      </c>
      <c r="L79" s="3">
        <v>53748</v>
      </c>
      <c r="M79" s="3">
        <v>53748</v>
      </c>
      <c r="N79" s="3">
        <v>5.7295490052888329</v>
      </c>
      <c r="O79" s="3">
        <v>0</v>
      </c>
      <c r="P79" s="3" t="s">
        <v>702</v>
      </c>
      <c r="Q79" s="3" t="s">
        <v>585</v>
      </c>
      <c r="R79" s="3" t="s">
        <v>585</v>
      </c>
      <c r="S79" s="3" t="s">
        <v>585</v>
      </c>
      <c r="T79" s="3" t="e">
        <v>#VALUE!</v>
      </c>
      <c r="U79" s="3" t="e">
        <v>#VALUE!</v>
      </c>
    </row>
    <row r="80" spans="1:28" ht="12.75" customHeight="1">
      <c r="H80" s="74">
        <v>17</v>
      </c>
    </row>
    <row r="81" spans="8:8" ht="12.75" customHeight="1">
      <c r="H81" s="74">
        <v>9</v>
      </c>
    </row>
  </sheetData>
  <pageMargins left="0.7" right="0.7" top="0.75" bottom="0.75" header="0.3" footer="0.3"/>
  <pageSetup paperSize="9" orientation="portrait" r:id="rId1"/>
  <headerFooter>
    <oddFooter>&amp;C_x000D_&amp;1#&amp;"Calibri"&amp;10&amp;K000000 Public Information</oddFooter>
  </headerFooter>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9BC2-B70A-4125-A40C-CF5F93854E2B}">
  <sheetPr codeName="Sheet5"/>
  <dimension ref="A1:B6"/>
  <sheetViews>
    <sheetView workbookViewId="0">
      <selection activeCell="G7" sqref="G7"/>
    </sheetView>
  </sheetViews>
  <sheetFormatPr defaultRowHeight="14.4"/>
  <cols>
    <col min="1" max="1" width="22" bestFit="1" customWidth="1"/>
    <col min="2" max="2" width="17" bestFit="1" customWidth="1"/>
  </cols>
  <sheetData>
    <row r="1" spans="1:2">
      <c r="A1" t="s">
        <v>566</v>
      </c>
      <c r="B1" s="108">
        <f>'Option Premium'!K2</f>
        <v>10000000</v>
      </c>
    </row>
    <row r="2" spans="1:2">
      <c r="A2" s="100" t="s">
        <v>154</v>
      </c>
      <c r="B2" s="101" t="s">
        <v>0</v>
      </c>
    </row>
    <row r="3" spans="1:2">
      <c r="A3" s="102" t="s">
        <v>560</v>
      </c>
      <c r="B3" s="103" t="s">
        <v>2</v>
      </c>
    </row>
    <row r="4" spans="1:2">
      <c r="A4" s="102" t="s">
        <v>561</v>
      </c>
      <c r="B4" s="103" t="s">
        <v>562</v>
      </c>
    </row>
    <row r="5" spans="1:2">
      <c r="A5" s="102" t="s">
        <v>563</v>
      </c>
      <c r="B5" s="103" t="s">
        <v>564</v>
      </c>
    </row>
    <row r="6" spans="1:2">
      <c r="A6" s="104" t="s">
        <v>565</v>
      </c>
      <c r="B6" s="105" t="s">
        <v>29</v>
      </c>
    </row>
  </sheetData>
  <pageMargins left="0.7" right="0.7" top="0.75" bottom="0.75" header="0.3" footer="0.3"/>
  <pageSetup orientation="portrait" r:id="rId1"/>
  <headerFooter>
    <oddFooter>&amp;C_x000D_&amp;1#&amp;"Calibri"&amp;10&amp;K000000 Public Information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523AD40-FF86-49FC-A197-C10D7842972D}">
  <ds:schemaRefs>
    <ds:schemaRef ds:uri="http://schemas.microsoft.com/PowerBIAddIn"/>
  </ds:schemaRefs>
</ds:datastoreItem>
</file>

<file path=docMetadata/LabelInfo.xml><?xml version="1.0" encoding="utf-8"?>
<clbl:labelList xmlns:clbl="http://schemas.microsoft.com/office/2020/mipLabelMetadata">
  <clbl:label id="{5a53b991-b5b5-440c-a86f-1a4c0ef0618b}" enabled="1" method="Privileged" siteId="{fce2dcb4-8191-4262-9152-b5ac8cfa96e1}" contentBits="2"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vt:i4>
      </vt:variant>
    </vt:vector>
  </HeadingPairs>
  <TitlesOfParts>
    <vt:vector size="11" baseType="lpstr">
      <vt:lpstr>User Guide</vt:lpstr>
      <vt:lpstr>settings</vt:lpstr>
      <vt:lpstr>Log</vt:lpstr>
      <vt:lpstr>listings</vt:lpstr>
      <vt:lpstr>Rates</vt:lpstr>
      <vt:lpstr>Option Premium</vt:lpstr>
      <vt:lpstr>Option Premium values</vt:lpstr>
      <vt:lpstr>STKAidSheet</vt:lpstr>
      <vt:lpstr>firmNum</vt:lpstr>
      <vt:lpstr>pricingNum</vt:lpstr>
      <vt:lpstr>settings!user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Vander Elst</dc:creator>
  <cp:lastModifiedBy>Olivier Billiet</cp:lastModifiedBy>
  <cp:lastPrinted>2017-11-27T10:16:29Z</cp:lastPrinted>
  <dcterms:created xsi:type="dcterms:W3CDTF">2013-06-10T20:09:41Z</dcterms:created>
  <dcterms:modified xsi:type="dcterms:W3CDTF">2024-07-02T13:41:47Z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ce06370-c5ca-4299-8630-fc986cd3cb5e_Enabled">
    <vt:lpwstr>true</vt:lpwstr>
  </property>
  <property fmtid="{D5CDD505-2E9C-101B-9397-08002B2CF9AE}" pid="3" name="MSIP_Label_4ce06370-c5ca-4299-8630-fc986cd3cb5e_SetDate">
    <vt:lpwstr>2023-12-12T14:31:49Z</vt:lpwstr>
  </property>
  <property fmtid="{D5CDD505-2E9C-101B-9397-08002B2CF9AE}" pid="4" name="MSIP_Label_4ce06370-c5ca-4299-8630-fc986cd3cb5e_Method">
    <vt:lpwstr>Standard</vt:lpwstr>
  </property>
  <property fmtid="{D5CDD505-2E9C-101B-9397-08002B2CF9AE}" pid="5" name="MSIP_Label_4ce06370-c5ca-4299-8630-fc986cd3cb5e_Name">
    <vt:lpwstr>ABB_INTERNAL</vt:lpwstr>
  </property>
  <property fmtid="{D5CDD505-2E9C-101B-9397-08002B2CF9AE}" pid="6" name="MSIP_Label_4ce06370-c5ca-4299-8630-fc986cd3cb5e_SiteId">
    <vt:lpwstr>396b38cc-aa65-492b-bb0e-3d94ed25a97b</vt:lpwstr>
  </property>
  <property fmtid="{D5CDD505-2E9C-101B-9397-08002B2CF9AE}" pid="7" name="MSIP_Label_4ce06370-c5ca-4299-8630-fc986cd3cb5e_ActionId">
    <vt:lpwstr>d83ca7f9-c4ae-4c9b-aa3e-9cb9e09b2a68</vt:lpwstr>
  </property>
  <property fmtid="{D5CDD505-2E9C-101B-9397-08002B2CF9AE}" pid="8" name="MSIP_Label_4ce06370-c5ca-4299-8630-fc986cd3cb5e_ContentBits">
    <vt:lpwstr>2</vt:lpwstr>
  </property>
</Properties>
</file>